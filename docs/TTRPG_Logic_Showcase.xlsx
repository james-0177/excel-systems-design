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stategov-my.sharepoint.com/personal/es4379_ads_state_mo_us/Documents/Work Documents/Professional Development/"/>
    </mc:Choice>
  </mc:AlternateContent>
  <xr:revisionPtr revIDLastSave="280" documentId="8_{22E15A23-E65B-41D8-9FAC-4E371CDEAC01}" xr6:coauthVersionLast="47" xr6:coauthVersionMax="47" xr10:uidLastSave="{084D0EB3-CBC2-4A29-A28A-563E676909F2}"/>
  <bookViews>
    <workbookView xWindow="3450" yWindow="2805" windowWidth="21600" windowHeight="11295" activeTab="1" xr2:uid="{D61B213B-7ED5-489D-AB43-5E60B1C94BF2}"/>
  </bookViews>
  <sheets>
    <sheet name="Start_Here" sheetId="1" r:id="rId1"/>
    <sheet name="1_Data_Integrity" sheetId="2" r:id="rId2"/>
    <sheet name="2_Rules_Engine" sheetId="3" r:id="rId3"/>
    <sheet name="3_Financial_Model" sheetId="4" r:id="rId4"/>
    <sheet name="4_Composite_Keys" sheetId="5" r:id="rId5"/>
    <sheet name="5_Boolean_Logic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 a="1"/>
  <c r="D15" i="2" s="1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<sst xmlns="http://schemas.openxmlformats.org/spreadsheetml/2006/main" count="30" uniqueCount="21">
  <si>
    <t>Excel Systems Design: TTRPG Logic Showcase</t>
  </si>
  <si>
    <t>1. Data Integrity</t>
  </si>
  <si>
    <t>2. Rules Engine</t>
  </si>
  <si>
    <t>3. Financial Model</t>
  </si>
  <si>
    <t>4. Composite Keys</t>
  </si>
  <si>
    <t>5. Boolean Logic</t>
  </si>
  <si>
    <t>Class Name</t>
  </si>
  <si>
    <t>Level</t>
  </si>
  <si>
    <t>Class Attack Bonus</t>
  </si>
  <si>
    <t>Class</t>
  </si>
  <si>
    <t>Attack Bonus</t>
  </si>
  <si>
    <t>Fighter</t>
  </si>
  <si>
    <t>Reference Table</t>
  </si>
  <si>
    <t>Rogue</t>
  </si>
  <si>
    <t>Wizard</t>
  </si>
  <si>
    <t>Class Level</t>
  </si>
  <si>
    <t>Total Character Level</t>
  </si>
  <si>
    <t>Total Attack Bonus</t>
  </si>
  <si>
    <t>Legend</t>
  </si>
  <si>
    <t>User Input</t>
  </si>
  <si>
    <t>Calculated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</si>
</sst>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/>
    <xf numFmtId="0" fontId="1" fillId="0" borderId="0" xfId="0" applyFont="1" applyAlignment="1"/>
    <xf numFmtId="165" fontId="0" fillId="0" borderId="0" xfId="0" applyNumberFormat="1" applyAlignment="1">
      <alignment horizontal="center"/>
    </xf>
    <xf numFmtId="0" fontId="1" fillId="0" borderId="0" xfId="0" applyFont="1" applyAlignment="1">
      <alignment wrapText="1"/>
    </xf>
    <xf numFmtId="165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/>
    <xf numFmtId="0" fontId="0" fillId="2" borderId="1" xfId="0" applyFill="1" applyBorder="1"/>
    <xf numFmtId="0" fontId="0" fillId="2" borderId="1" xfId="0" applyNumberForma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0" fillId="2" borderId="3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3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314325</xdr:colOff>
      <xdr:row>11</xdr:row>
      <xdr:rowOff>76200</xdr:rowOff>
    </xdr:from>
    <xdr:to>
      <xdr:col>14</xdr:col>
      <xdr:colOff>285750</xdr:colOff>
      <xdr:row>17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42270D2-3778-1902-38B0-E48FF0E3ACE3}"/>
            </a:ext>
          </a:extLst>
        </xdr:cNvPr>
        <xdr:cNvSpPr txBox="1"/>
      </xdr:nvSpPr>
      <xdr:spPr>
        <a:xfrm>
          <a:off x="7077075" y="2362200"/>
          <a:ext cx="3019425" cy="1152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Data Normalization Engine</a:t>
          </a:r>
        </a:p>
        <a:p>
          <a:r>
            <a:rPr lang="en-US" sz="1100"/>
            <a:t>This cell uses dynamic arrays (LET, UNIQUE, MAXIFS)</a:t>
          </a:r>
          <a:r>
            <a:rPr lang="en-US" sz="1100" baseline="0"/>
            <a:t> to aggregate values while actively ignoring duplicate or outdated rows. This enforces a "Single Version of Truth" for the dataset without requiring manual data cleanup.</a:t>
          </a:r>
          <a:endParaRPr lang="en-US" sz="1100"/>
        </a:p>
      </xdr:txBody>
    </xdr:sp>
    <xdr:clientData/>
  </xdr:twoCellAnchor>
  <xdr:twoCellAnchor>
    <xdr:from>
      <xdr:col>4</xdr:col>
      <xdr:colOff>28575</xdr:colOff>
      <xdr:row>14</xdr:row>
      <xdr:rowOff>66675</xdr:rowOff>
    </xdr:from>
    <xdr:to>
      <xdr:col>9</xdr:col>
      <xdr:colOff>314325</xdr:colOff>
      <xdr:row>14</xdr:row>
      <xdr:rowOff>71438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A519450-0B6C-9903-7167-F2DB2F339D30}"/>
            </a:ext>
          </a:extLst>
        </xdr:cNvPr>
        <xdr:cNvCxnSpPr>
          <a:stCxn id="2" idx="1"/>
        </xdr:cNvCxnSpPr>
      </xdr:nvCxnSpPr>
      <xdr:spPr>
        <a:xfrm flipH="1" flipV="1">
          <a:off x="2952750" y="2933700"/>
          <a:ext cx="4124325" cy="47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7CFB7-A1CC-4C44-BDA4-C6958A92FD3F}" name="Classes" displayName="Classes" ref="G2:I14" totalsRowShown="0">
  <autoFilter ref="G2:I14" xr:uid="{E447CFB7-A1CC-4C44-BDA4-C6958A92FD3F}">
    <filterColumn colId="0" hiddenButton="1"/>
    <filterColumn colId="1" hiddenButton="1"/>
    <filterColumn colId="2" hiddenButton="1"/>
  </autoFilter>
  <tableColumns count="3">
    <tableColumn id="1" xr3:uid="{31B5570B-D508-463F-9A03-F0A1C98681C9}" name="Class" dataDxfId="2"/>
    <tableColumn id="2" xr3:uid="{BFB10E4F-A2E3-4E2E-A5E7-AA1B521955F0}" name="Level" dataDxfId="1"/>
    <tableColumn id="3" xr3:uid="{56419279-C482-4D63-AA65-04452918577F}" name="Attack Bonu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3642-9A93-45A6-9DF9-67AA4D7A1BA5}">
  <dimension ref="A1:A7"/>
  <sheetViews>
    <sheetView showGridLines="0" workbookViewId="0">
      <selection activeCell="A8" sqref="A8"/>
    </sheetView>
  </sheetViews>
  <sheetFormatPr defaultRowHeight="15" x14ac:dyDescent="0.25"/>
  <cols>
    <col min="1" max="1" width="53.42578125" bestFit="1" customWidth="1"/>
  </cols>
  <sheetData>
    <row r="1" spans="1:1" ht="18.75" x14ac:dyDescent="0.3">
      <c r="A1" s="2" t="s">
        <v>0</v>
      </c>
    </row>
    <row r="3" spans="1:1" x14ac:dyDescent="0.25">
      <c r="A3" s="3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</sheetData>
  <hyperlinks>
    <hyperlink ref="A3" location="'1_Data_Integrity'!A1" display="1_Data_Integrity" xr:uid="{A874F0A3-DBB1-48B1-8E83-C7EB2ADE0946}"/>
    <hyperlink ref="A4" location="'2_Rules_Engine'!A1" display="2_Rules_Engine" xr:uid="{89511929-7DA3-482C-A6F0-96F1A78B832C}"/>
    <hyperlink ref="A5" location="'3_Financial_Model'!A1" display="3_Financial_Model" xr:uid="{745D2021-03DC-4BD7-AB63-FF99026DDD33}"/>
    <hyperlink ref="A6" location="'4_Composite_Keys'!A1" display="4. Composite Keys" xr:uid="{683BA514-A510-4C06-9CC5-7DF2F79B8DCA}"/>
    <hyperlink ref="A7" location="'5_Boolean_Logic'!A1" display="5. Boolean Logic" xr:uid="{789A626E-47ED-4AC5-BCEC-3969AFB502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D236-E667-427E-B7A0-98758A9462EE}">
  <dimension ref="A1:M15"/>
  <sheetViews>
    <sheetView tabSelected="1" workbookViewId="0">
      <selection activeCell="G16" sqref="G16"/>
    </sheetView>
  </sheetViews>
  <sheetFormatPr defaultRowHeight="15" x14ac:dyDescent="0.25"/>
  <cols>
    <col min="1" max="1" width="14.42578125" bestFit="1" customWidth="1"/>
    <col min="2" max="2" width="11.42578125" customWidth="1"/>
    <col min="3" max="3" width="6.5703125" style="9" bestFit="1" customWidth="1"/>
    <col min="4" max="4" width="11.42578125" style="4" bestFit="1" customWidth="1"/>
    <col min="7" max="7" width="15.5703125" style="7" bestFit="1" customWidth="1"/>
    <col min="8" max="8" width="9.140625" style="5"/>
    <col min="9" max="9" width="14.5703125" style="6" customWidth="1"/>
  </cols>
  <sheetData>
    <row r="1" spans="1:13" x14ac:dyDescent="0.25">
      <c r="G1" s="8" t="s">
        <v>12</v>
      </c>
    </row>
    <row r="2" spans="1:13" ht="30" x14ac:dyDescent="0.25">
      <c r="A2" s="10" t="s">
        <v>16</v>
      </c>
      <c r="B2" s="1" t="s">
        <v>6</v>
      </c>
      <c r="C2" s="11" t="s">
        <v>15</v>
      </c>
      <c r="D2" s="12" t="s">
        <v>8</v>
      </c>
      <c r="G2" s="7" t="s">
        <v>9</v>
      </c>
      <c r="H2" s="7" t="s">
        <v>7</v>
      </c>
      <c r="I2" s="6" t="s">
        <v>10</v>
      </c>
      <c r="K2" s="15" t="s">
        <v>18</v>
      </c>
      <c r="L2" s="15"/>
      <c r="M2" s="15"/>
    </row>
    <row r="3" spans="1:13" x14ac:dyDescent="0.25">
      <c r="A3" s="13">
        <v>1</v>
      </c>
      <c r="B3" s="14"/>
      <c r="C3" s="20"/>
      <c r="D3" s="18" t="str" cm="1">
        <f t="array" ref="D3">_xlfn.IFNA(_xlfn.XLOOKUP($B3&amp;"/"&amp;$C3,$G$3:$G$14&amp;"/"&amp;$H$3:$H$14,$I$3:$I$14,,0,1),"")</f>
        <v/>
      </c>
      <c r="G3" s="7" t="s">
        <v>11</v>
      </c>
      <c r="H3" s="5">
        <v>1</v>
      </c>
      <c r="I3" s="19">
        <v>1</v>
      </c>
      <c r="K3" s="16" t="s">
        <v>19</v>
      </c>
      <c r="L3" s="16"/>
      <c r="M3" s="14"/>
    </row>
    <row r="4" spans="1:13" x14ac:dyDescent="0.25">
      <c r="A4" s="13">
        <v>2</v>
      </c>
      <c r="B4" s="14"/>
      <c r="C4" s="20"/>
      <c r="D4" s="18" t="str" cm="1">
        <f t="array" ref="D4">_xlfn.IFNA(_xlfn.XLOOKUP($B4&amp;"/"&amp;$C4,$G$3:$G$14&amp;"/"&amp;$H$3:$H$14,$I$3:$I$14,,0,1),"")</f>
        <v/>
      </c>
      <c r="G4" s="7" t="s">
        <v>11</v>
      </c>
      <c r="H4" s="5">
        <v>2</v>
      </c>
      <c r="I4" s="19">
        <v>2</v>
      </c>
      <c r="K4" s="16" t="s">
        <v>20</v>
      </c>
      <c r="L4" s="16"/>
      <c r="M4" s="17"/>
    </row>
    <row r="5" spans="1:13" x14ac:dyDescent="0.25">
      <c r="A5" s="13">
        <v>3</v>
      </c>
      <c r="B5" s="14"/>
      <c r="C5" s="20"/>
      <c r="D5" s="18" t="str" cm="1">
        <f t="array" ref="D5">_xlfn.IFNA(_xlfn.XLOOKUP($B5&amp;"/"&amp;$C5,$G$3:$G$14&amp;"/"&amp;$H$3:$H$14,$I$3:$I$14,,0,1),"")</f>
        <v/>
      </c>
      <c r="G5" s="7" t="s">
        <v>11</v>
      </c>
      <c r="H5" s="5">
        <v>3</v>
      </c>
      <c r="I5" s="19">
        <v>3</v>
      </c>
    </row>
    <row r="6" spans="1:13" x14ac:dyDescent="0.25">
      <c r="A6" s="13">
        <v>4</v>
      </c>
      <c r="B6" s="14"/>
      <c r="C6" s="20"/>
      <c r="D6" s="18" t="str" cm="1">
        <f t="array" ref="D6">_xlfn.IFNA(_xlfn.XLOOKUP($B6&amp;"/"&amp;$C6,$G$3:$G$14&amp;"/"&amp;$H$3:$H$14,$I$3:$I$14,,0,1),"")</f>
        <v/>
      </c>
      <c r="G6" s="7" t="s">
        <v>11</v>
      </c>
      <c r="H6" s="5">
        <v>4</v>
      </c>
      <c r="I6" s="19">
        <v>4</v>
      </c>
    </row>
    <row r="7" spans="1:13" x14ac:dyDescent="0.25">
      <c r="A7" s="13">
        <v>5</v>
      </c>
      <c r="B7" s="14"/>
      <c r="C7" s="20"/>
      <c r="D7" s="18" t="str" cm="1">
        <f t="array" ref="D7">_xlfn.IFNA(_xlfn.XLOOKUP($B7&amp;"/"&amp;$C7,$G$3:$G$14&amp;"/"&amp;$H$3:$H$14,$I$3:$I$14,,0,1),"")</f>
        <v/>
      </c>
      <c r="G7" s="7" t="s">
        <v>13</v>
      </c>
      <c r="H7" s="5">
        <v>1</v>
      </c>
      <c r="I7" s="19">
        <v>0</v>
      </c>
    </row>
    <row r="8" spans="1:13" x14ac:dyDescent="0.25">
      <c r="A8" s="13">
        <v>6</v>
      </c>
      <c r="B8" s="14"/>
      <c r="C8" s="20"/>
      <c r="D8" s="18" t="str" cm="1">
        <f t="array" ref="D8">_xlfn.IFNA(_xlfn.XLOOKUP($B8&amp;"/"&amp;$C8,$G$3:$G$14&amp;"/"&amp;$H$3:$H$14,$I$3:$I$14,,0,1),"")</f>
        <v/>
      </c>
      <c r="G8" s="7" t="s">
        <v>13</v>
      </c>
      <c r="H8" s="5">
        <v>2</v>
      </c>
      <c r="I8" s="19">
        <v>1</v>
      </c>
    </row>
    <row r="9" spans="1:13" x14ac:dyDescent="0.25">
      <c r="A9" s="13">
        <v>7</v>
      </c>
      <c r="B9" s="14"/>
      <c r="C9" s="20"/>
      <c r="D9" s="18" t="str" cm="1">
        <f t="array" ref="D9">_xlfn.IFNA(_xlfn.XLOOKUP($B9&amp;"/"&amp;$C9,$G$3:$G$14&amp;"/"&amp;$H$3:$H$14,$I$3:$I$14,,0,1),"")</f>
        <v/>
      </c>
      <c r="G9" s="7" t="s">
        <v>13</v>
      </c>
      <c r="H9" s="5">
        <v>3</v>
      </c>
      <c r="I9" s="19">
        <v>2</v>
      </c>
    </row>
    <row r="10" spans="1:13" x14ac:dyDescent="0.25">
      <c r="A10" s="13">
        <v>8</v>
      </c>
      <c r="B10" s="14"/>
      <c r="C10" s="20"/>
      <c r="D10" s="18" t="str" cm="1">
        <f t="array" ref="D10">_xlfn.IFNA(_xlfn.XLOOKUP($B10&amp;"/"&amp;$C10,$G$3:$G$14&amp;"/"&amp;$H$3:$H$14,$I$3:$I$14,,0,1),"")</f>
        <v/>
      </c>
      <c r="G10" s="7" t="s">
        <v>13</v>
      </c>
      <c r="H10" s="5">
        <v>4</v>
      </c>
      <c r="I10" s="19">
        <v>3</v>
      </c>
    </row>
    <row r="11" spans="1:13" x14ac:dyDescent="0.25">
      <c r="A11" s="13">
        <v>9</v>
      </c>
      <c r="B11" s="14"/>
      <c r="C11" s="20"/>
      <c r="D11" s="18" t="str" cm="1">
        <f t="array" ref="D11">_xlfn.IFNA(_xlfn.XLOOKUP($B11&amp;"/"&amp;$C11,$G$3:$G$14&amp;"/"&amp;$H$3:$H$14,$I$3:$I$14,,0,1),"")</f>
        <v/>
      </c>
      <c r="G11" s="7" t="s">
        <v>14</v>
      </c>
      <c r="H11" s="5">
        <v>1</v>
      </c>
      <c r="I11" s="19">
        <v>0</v>
      </c>
    </row>
    <row r="12" spans="1:13" x14ac:dyDescent="0.25">
      <c r="A12" s="13">
        <v>10</v>
      </c>
      <c r="B12" s="14"/>
      <c r="C12" s="20"/>
      <c r="D12" s="18" t="str" cm="1">
        <f t="array" ref="D12">_xlfn.IFNA(_xlfn.XLOOKUP($B12&amp;"/"&amp;$C12,$G$3:$G$14&amp;"/"&amp;$H$3:$H$14,$I$3:$I$14,,0,1),"")</f>
        <v/>
      </c>
      <c r="G12" s="7" t="s">
        <v>14</v>
      </c>
      <c r="H12" s="5">
        <v>2</v>
      </c>
      <c r="I12" s="19">
        <v>1</v>
      </c>
    </row>
    <row r="13" spans="1:13" x14ac:dyDescent="0.25">
      <c r="A13" s="13">
        <v>11</v>
      </c>
      <c r="B13" s="14"/>
      <c r="C13" s="20"/>
      <c r="D13" s="18" t="str" cm="1">
        <f t="array" ref="D13">_xlfn.IFNA(_xlfn.XLOOKUP($B13&amp;"/"&amp;$C13,$G$3:$G$14&amp;"/"&amp;$H$3:$H$14,$I$3:$I$14,,0,1),"")</f>
        <v/>
      </c>
      <c r="G13" s="7" t="s">
        <v>14</v>
      </c>
      <c r="H13" s="5">
        <v>3</v>
      </c>
      <c r="I13" s="19">
        <v>1</v>
      </c>
    </row>
    <row r="14" spans="1:13" ht="15.75" thickBot="1" x14ac:dyDescent="0.3">
      <c r="A14" s="13">
        <v>12</v>
      </c>
      <c r="B14" s="14"/>
      <c r="C14" s="20"/>
      <c r="D14" s="21" t="str" cm="1">
        <f t="array" ref="D14">_xlfn.IFNA(_xlfn.XLOOKUP($B14&amp;"/"&amp;$C14,$G$3:$G$14&amp;"/"&amp;$H$3:$H$14,$I$3:$I$14,,0,1),"")</f>
        <v/>
      </c>
      <c r="G14" s="7" t="s">
        <v>14</v>
      </c>
      <c r="H14" s="5">
        <v>4</v>
      </c>
      <c r="I14" s="19">
        <v>2</v>
      </c>
    </row>
    <row r="15" spans="1:13" ht="15.75" thickBot="1" x14ac:dyDescent="0.3">
      <c r="A15" s="1"/>
      <c r="B15" s="1" t="s">
        <v>17</v>
      </c>
      <c r="D15" s="22" t="str" cm="1">
        <f t="array" ref="D15">_xlfn.CONCAT("+ ",_xlfn.SINGLE(_xlfn.LET(_xlpm.u,_xlfn.UNIQUE($B$3:$B$14),_xlpm.m,_xlfn.MAXIFS($C$3:$C$14,$B$3:$B$14,_xlpm.u),SUM(_xlfn.MAXIFS(D$3:D$14,$B$3:$B$14,_xlpm.u,$C$3:$C$14,_xlpm.m)))))</f>
        <v>+ 0</v>
      </c>
    </row>
  </sheetData>
  <mergeCells count="3">
    <mergeCell ref="K2:M2"/>
    <mergeCell ref="K3:L3"/>
    <mergeCell ref="K4:L4"/>
  </mergeCells>
  <dataValidations count="13">
    <dataValidation type="list" allowBlank="1" showInputMessage="1" showErrorMessage="1" sqref="C3" xr:uid="{43F979D9-AA17-4A00-802C-7B8DA7D91E77}">
      <formula1>"1"</formula1>
    </dataValidation>
    <dataValidation type="list" allowBlank="1" showInputMessage="1" showErrorMessage="1" sqref="C4" xr:uid="{78CA0EB7-7EE9-4E38-99AB-B636CFCAD82A}">
      <formula1>"1,2"</formula1>
    </dataValidation>
    <dataValidation type="list" allowBlank="1" showInputMessage="1" showErrorMessage="1" sqref="B3:B14" xr:uid="{9F83C9F6-9C8F-4747-A9F3-1BD4297D4B26}">
      <formula1>"Fighter,Rogue,Wizard"</formula1>
    </dataValidation>
    <dataValidation type="list" allowBlank="1" showInputMessage="1" showErrorMessage="1" sqref="C5" xr:uid="{75098BCC-C10C-41A8-ADE1-102C1A27DCD4}">
      <formula1>"1,2,3"</formula1>
    </dataValidation>
    <dataValidation type="list" allowBlank="1" showInputMessage="1" showErrorMessage="1" sqref="C6" xr:uid="{E2B63BEA-0920-4BA9-8D26-D7BB090300E4}">
      <formula1>"1,2,3,4"</formula1>
    </dataValidation>
    <dataValidation type="list" allowBlank="1" showInputMessage="1" showErrorMessage="1" sqref="C7" xr:uid="{97BED2D9-88EF-46BE-BFF7-3CC330152C9B}">
      <formula1>"1,2,3,4,5"</formula1>
    </dataValidation>
    <dataValidation type="list" allowBlank="1" showInputMessage="1" showErrorMessage="1" sqref="C8" xr:uid="{FD7050E4-33E6-4EF3-B650-51240660BAF1}">
      <formula1>"1,2,3,4,5,6"</formula1>
    </dataValidation>
    <dataValidation type="list" allowBlank="1" showInputMessage="1" showErrorMessage="1" sqref="C9" xr:uid="{C501DA67-4F93-47AD-99F7-EB21D4745833}">
      <formula1>"1,2,3,4,5,6,7"</formula1>
    </dataValidation>
    <dataValidation type="list" allowBlank="1" showInputMessage="1" showErrorMessage="1" sqref="C10" xr:uid="{8D3C5AC9-7DB8-4010-8748-6E12D64AC541}">
      <formula1>"1,2,3,4,5,6,7,8"</formula1>
    </dataValidation>
    <dataValidation type="list" allowBlank="1" showInputMessage="1" showErrorMessage="1" sqref="C11" xr:uid="{A92D5DF2-4585-432C-AE8E-57F38F1CEE74}">
      <formula1>"1,2,3,4,5,6,7,8,9"</formula1>
    </dataValidation>
    <dataValidation type="list" allowBlank="1" showInputMessage="1" showErrorMessage="1" sqref="C12" xr:uid="{94DB128B-003D-4754-88E1-8A117E28DD39}">
      <formula1>"1,2,3,4,5,6,7,8,9,10"</formula1>
    </dataValidation>
    <dataValidation type="list" allowBlank="1" showInputMessage="1" showErrorMessage="1" sqref="C13" xr:uid="{786252B5-8937-4E7D-927D-DF73851BD421}">
      <formula1>"1,2,3,4,5,6,7,8,9,10,11"</formula1>
    </dataValidation>
    <dataValidation type="list" allowBlank="1" showInputMessage="1" showErrorMessage="1" sqref="C14" xr:uid="{8DB10703-9669-451A-BC1F-76CC3750DE03}">
      <formula1>"1,2,3,4,5,6,7,8,9,10,11,12"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D18A-4B14-4275-ACF0-9167ED5598B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A9EB-3766-451E-9477-A49E35C71A5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206B-93BE-44E7-BBB3-37E6D05E578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FF8F-7AB0-4A7A-9652-24E1AFECA51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Start_Here</vt:lpstr>
      <vt:lpstr>1_Data_Integrity</vt:lpstr>
      <vt:lpstr>2_Rules_Engine</vt:lpstr>
      <vt:lpstr>3_Financial_Model</vt:lpstr>
      <vt:lpstr>4_Composite_Keys</vt:lpstr>
      <vt:lpstr>5_Boolean_Logic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Pinkston, James</dc:creator>
  <cp:lastModifiedBy>Pinkston, James</cp:lastModifiedBy>
  <dcterms:created xsi:type="dcterms:W3CDTF">2026-04-30T19:27:47Z</dcterms:created>
  <dcterms:modified xsi:type="dcterms:W3CDTF">2026-04-30T21:20:00Z</dcterms:modified>
</cp:coreProperties>
</file>