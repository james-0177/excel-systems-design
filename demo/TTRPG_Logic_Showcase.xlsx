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tategov-my.sharepoint.com/personal/es4379_ads_state_mo_us/Documents/Work Documents/Professional Development/"/>
    </mc:Choice>
  </mc:AlternateContent>
  <xr:revisionPtr revIDLastSave="825" documentId="8_{22E15A23-E65B-41D8-9FAC-4E371CDEAC01}" xr6:coauthVersionLast="47" xr6:coauthVersionMax="47" xr10:uidLastSave="{97C829DD-C4FB-4AB3-B8EB-718234BE86D2}"/>
  <bookViews>
    <workbookView xWindow="3450" yWindow="3015" windowWidth="21600" windowHeight="11295" xr2:uid="{D61B213B-7ED5-489D-AB43-5E60B1C94BF2}"/>
  </bookViews>
  <sheets>
    <sheet name="Start_Here" sheetId="1" r:id="rId1"/>
    <sheet name="1_Data_Integrity" sheetId="2" r:id="rId2"/>
    <sheet name="2_Rules_Engine" sheetId="3" r:id="rId3"/>
    <sheet name="3_Financial_Model" sheetId="4" r:id="rId4"/>
    <sheet name="4_Gestalt_Engine" sheetId="5" r:id="rId5"/>
    <sheet name="5_Boolean_Logic" sheetId="6" r:id="rId6"/>
  </sheets>
  <definedNames>
    <definedName name="Class">'4_Gestalt_Engine'!$N$7:$N$11</definedName>
    <definedName name="Investigator">'4_Gestalt_Engine'!$W$7:$W$12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 a="1"/>
  <c r="B7" i="6" s="1"/>
  <c r="B6" i="6" a="1"/>
  <c r="B6" i="6" s="1"/>
  <c r="B5" i="6" a="1"/>
  <c r="B5" i="6" s="1"/>
  <c r="B4" i="6" a="1"/>
  <c r="B4" i="6" s="1"/>
  <c r="B3" i="6" a="1"/>
  <c r="B3" i="6" s="1"/>
  <c r="C3" i="4" l="1"/>
  <c r="AE8" i="5" a="1"/>
  <c r="AE8" i="5" s="1"/>
  <c r="AE9" i="5" a="1"/>
  <c r="AE9" i="5" s="1"/>
  <c r="AE10" i="5" a="1"/>
  <c r="AE10" i="5" s="1"/>
  <c r="AE11" i="5" a="1"/>
  <c r="AE11" i="5" s="1"/>
  <c r="AK8" i="5" l="1" a="1"/>
  <c r="AK8" i="5" s="1"/>
  <c r="AL8" i="5" a="1"/>
  <c r="AL8" i="5" s="1"/>
  <c r="AM8" i="5" a="1"/>
  <c r="AM8" i="5" s="1"/>
  <c r="AK9" i="5" a="1"/>
  <c r="AK9" i="5" s="1"/>
  <c r="AL9" i="5" a="1"/>
  <c r="AL9" i="5" s="1"/>
  <c r="AM9" i="5" a="1"/>
  <c r="AM9" i="5" s="1"/>
  <c r="AK10" i="5" a="1"/>
  <c r="AK10" i="5" s="1"/>
  <c r="AL10" i="5" a="1"/>
  <c r="AL10" i="5" s="1"/>
  <c r="AM10" i="5" a="1"/>
  <c r="AM10" i="5" s="1"/>
  <c r="AK11" i="5" a="1"/>
  <c r="AK11" i="5" s="1"/>
  <c r="AL11" i="5" a="1"/>
  <c r="AL11" i="5" s="1"/>
  <c r="AM11" i="5" a="1"/>
  <c r="AM11" i="5" s="1"/>
  <c r="AJ8" i="5" a="1"/>
  <c r="AJ8" i="5" s="1"/>
  <c r="AJ9" i="5" a="1"/>
  <c r="AJ9" i="5" s="1"/>
  <c r="AJ10" i="5" a="1"/>
  <c r="AJ10" i="5" s="1"/>
  <c r="AJ11" i="5" a="1"/>
  <c r="AJ11" i="5" s="1"/>
  <c r="AI8" i="5" a="1"/>
  <c r="AI8" i="5" s="1"/>
  <c r="AI9" i="5" a="1"/>
  <c r="AI9" i="5" s="1"/>
  <c r="AI10" i="5" a="1"/>
  <c r="AI10" i="5" s="1"/>
  <c r="AI11" i="5" a="1"/>
  <c r="AI11" i="5" s="1"/>
  <c r="AH8" i="5" a="1"/>
  <c r="AH8" i="5" s="1"/>
  <c r="AH9" i="5" a="1"/>
  <c r="AH9" i="5" s="1"/>
  <c r="AH10" i="5" a="1"/>
  <c r="AH10" i="5" s="1"/>
  <c r="AH11" i="5" a="1"/>
  <c r="AH11" i="5" s="1"/>
  <c r="AG8" i="5" a="1"/>
  <c r="AG8" i="5" s="1"/>
  <c r="AG9" i="5" a="1"/>
  <c r="AG9" i="5" s="1"/>
  <c r="AG10" i="5" a="1"/>
  <c r="AG10" i="5" s="1"/>
  <c r="AG11" i="5" a="1"/>
  <c r="AG11" i="5" s="1"/>
  <c r="AF8" i="5" a="1"/>
  <c r="AF8" i="5" s="1"/>
  <c r="AF9" i="5" a="1"/>
  <c r="AF9" i="5" s="1"/>
  <c r="AF10" i="5" a="1"/>
  <c r="AF10" i="5" s="1"/>
  <c r="AF11" i="5" a="1"/>
  <c r="AF11" i="5" s="1"/>
  <c r="AM7" i="5" a="1"/>
  <c r="AM7" i="5" s="1"/>
  <c r="AL7" i="5" a="1"/>
  <c r="AL7" i="5" s="1"/>
  <c r="AK7" i="5" a="1"/>
  <c r="AK7" i="5" s="1"/>
  <c r="AJ7" i="5" a="1"/>
  <c r="AJ7" i="5" s="1"/>
  <c r="AI7" i="5" a="1"/>
  <c r="AI7" i="5" s="1"/>
  <c r="AH7" i="5" a="1"/>
  <c r="AH7" i="5" s="1"/>
  <c r="AG7" i="5" a="1"/>
  <c r="AG7" i="5" s="1"/>
  <c r="AF7" i="5" a="1"/>
  <c r="AF7" i="5" s="1"/>
  <c r="AE7" i="5" a="1"/>
  <c r="AE7" i="5" s="1"/>
  <c r="AD8" i="5" a="1"/>
  <c r="AD8" i="5" s="1"/>
  <c r="H8" i="5" s="1"/>
  <c r="AD9" i="5" a="1"/>
  <c r="AD9" i="5" s="1"/>
  <c r="H9" i="5" s="1"/>
  <c r="AD10" i="5" a="1"/>
  <c r="AD10" i="5" s="1"/>
  <c r="H10" i="5" s="1"/>
  <c r="AD11" i="5" a="1"/>
  <c r="AD11" i="5" s="1"/>
  <c r="H11" i="5" s="1"/>
  <c r="AD7" i="5" a="1"/>
  <c r="AD7" i="5" s="1"/>
  <c r="H7" i="5" l="1"/>
  <c r="L7" i="5" s="1"/>
  <c r="I11" i="5"/>
  <c r="L11" i="5"/>
  <c r="J11" i="5"/>
  <c r="K11" i="5"/>
  <c r="K10" i="5"/>
  <c r="I10" i="5"/>
  <c r="J10" i="5"/>
  <c r="L10" i="5"/>
  <c r="L9" i="5"/>
  <c r="J9" i="5"/>
  <c r="I9" i="5"/>
  <c r="K9" i="5"/>
  <c r="J8" i="5"/>
  <c r="I8" i="5"/>
  <c r="L8" i="5"/>
  <c r="K8" i="5"/>
  <c r="G3" i="4"/>
  <c r="N94" i="4"/>
  <c r="M93" i="4"/>
  <c r="N93" i="4" s="1"/>
  <c r="M92" i="4"/>
  <c r="N92" i="4" s="1"/>
  <c r="M91" i="4"/>
  <c r="N91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3" i="4"/>
  <c r="N83" i="4" s="1"/>
  <c r="M82" i="4"/>
  <c r="N82" i="4" s="1"/>
  <c r="M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M68" i="4"/>
  <c r="N68" i="4" s="1"/>
  <c r="M67" i="4"/>
  <c r="N67" i="4" s="1"/>
  <c r="M66" i="4"/>
  <c r="N66" i="4" s="1"/>
  <c r="M65" i="4"/>
  <c r="N65" i="4" s="1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7" i="4"/>
  <c r="N57" i="4" s="1"/>
  <c r="M56" i="4"/>
  <c r="N56" i="4" s="1"/>
  <c r="M55" i="4"/>
  <c r="N55" i="4" s="1"/>
  <c r="M54" i="4"/>
  <c r="N54" i="4" s="1"/>
  <c r="N53" i="4"/>
  <c r="M53" i="4"/>
  <c r="M52" i="4"/>
  <c r="N52" i="4" s="1"/>
  <c r="M51" i="4"/>
  <c r="N51" i="4" s="1"/>
  <c r="M50" i="4"/>
  <c r="N50" i="4" s="1"/>
  <c r="M49" i="4"/>
  <c r="N49" i="4" s="1"/>
  <c r="N48" i="4"/>
  <c r="M48" i="4"/>
  <c r="M47" i="4"/>
  <c r="N47" i="4" s="1"/>
  <c r="M46" i="4"/>
  <c r="N46" i="4" s="1"/>
  <c r="M45" i="4"/>
  <c r="N45" i="4" s="1"/>
  <c r="M44" i="4"/>
  <c r="N44" i="4" s="1"/>
  <c r="M43" i="4"/>
  <c r="N43" i="4" s="1"/>
  <c r="M42" i="4"/>
  <c r="N42" i="4" s="1"/>
  <c r="M41" i="4"/>
  <c r="N41" i="4" s="1"/>
  <c r="M40" i="4"/>
  <c r="N40" i="4" s="1"/>
  <c r="M39" i="4"/>
  <c r="N39" i="4" s="1"/>
  <c r="M38" i="4"/>
  <c r="N38" i="4" s="1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N26" i="4"/>
  <c r="M26" i="4"/>
  <c r="M25" i="4"/>
  <c r="N25" i="4" s="1"/>
  <c r="M24" i="4"/>
  <c r="N24" i="4" s="1"/>
  <c r="M23" i="4"/>
  <c r="N23" i="4" s="1"/>
  <c r="N22" i="4"/>
  <c r="N21" i="4"/>
  <c r="N20" i="4"/>
  <c r="N19" i="4"/>
  <c r="N18" i="4"/>
  <c r="N17" i="4"/>
  <c r="N16" i="4"/>
  <c r="N15" i="4"/>
  <c r="J7" i="5" l="1"/>
  <c r="K7" i="5"/>
  <c r="I7" i="5"/>
  <c r="D4" i="3"/>
  <c r="D5" i="3"/>
  <c r="D6" i="3"/>
  <c r="D7" i="3"/>
  <c r="D8" i="3"/>
  <c r="D3" i="3"/>
  <c r="D3" i="2" l="1" a="1"/>
  <c r="D3" i="2" s="1"/>
  <c r="D15" i="2" s="1" a="1"/>
  <c r="D15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C11" i="3" l="1"/>
  <c r="C10" i="3"/>
  <c r="C1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<sst xmlns="http://schemas.openxmlformats.org/spreadsheetml/2006/main" count="319" uniqueCount="202">
  <si>
    <t>Excel Systems Design: TTRPG Logic Showcase</t>
  </si>
  <si>
    <t>1. Data Integrity</t>
  </si>
  <si>
    <t>2. Rules Engine</t>
  </si>
  <si>
    <t>3. Financial Model</t>
  </si>
  <si>
    <t>5. Boolean Logic</t>
  </si>
  <si>
    <t>Class Name</t>
  </si>
  <si>
    <t>Level</t>
  </si>
  <si>
    <t>Class Attack Bonus</t>
  </si>
  <si>
    <t>Class</t>
  </si>
  <si>
    <t>Attack Bonus</t>
  </si>
  <si>
    <t>Fighter</t>
  </si>
  <si>
    <t>Reference Table</t>
  </si>
  <si>
    <t>Rogue</t>
  </si>
  <si>
    <t>Wizard</t>
  </si>
  <si>
    <t>Class Level</t>
  </si>
  <si>
    <t>Total Character Level</t>
  </si>
  <si>
    <t>Total Attack Bonus</t>
  </si>
  <si>
    <t>Legend</t>
  </si>
  <si>
    <t>User Input</t>
  </si>
  <si>
    <t>Calculated Output</t>
  </si>
  <si>
    <t>ATTR</t>
  </si>
  <si>
    <t>ABILITY SCORE</t>
  </si>
  <si>
    <t>ABILITY MOD</t>
  </si>
  <si>
    <t>STR</t>
  </si>
  <si>
    <t>DEX</t>
  </si>
  <si>
    <t>CON</t>
  </si>
  <si>
    <t>INT</t>
  </si>
  <si>
    <t>WIS</t>
  </si>
  <si>
    <t>CHA</t>
  </si>
  <si>
    <t>TYPE</t>
  </si>
  <si>
    <t>Bonus Feats</t>
  </si>
  <si>
    <t>Feats</t>
  </si>
  <si>
    <t>Melee</t>
  </si>
  <si>
    <t>Ranged</t>
  </si>
  <si>
    <t>Light</t>
  </si>
  <si>
    <t>Weapon Finesse</t>
  </si>
  <si>
    <t>Purchase DC</t>
  </si>
  <si>
    <t>Average</t>
  </si>
  <si>
    <t>Purchase Price</t>
  </si>
  <si>
    <t>$1-$5</t>
  </si>
  <si>
    <t>$900k-$1.2M</t>
  </si>
  <si>
    <t>$275M-$350M</t>
  </si>
  <si>
    <t>$3.5K-$5k</t>
  </si>
  <si>
    <t>$1.2M-$1.5M</t>
  </si>
  <si>
    <t>$350M-$500M</t>
  </si>
  <si>
    <t>$5k-$6.5K</t>
  </si>
  <si>
    <t>$1.5M-$2M</t>
  </si>
  <si>
    <t>$500M-$650M</t>
  </si>
  <si>
    <t>$6.5K-$9k</t>
  </si>
  <si>
    <t>$2M-$2.75M</t>
  </si>
  <si>
    <t>$650M-$900M</t>
  </si>
  <si>
    <t>$9k-$12k</t>
  </si>
  <si>
    <t>$2.75M-$3.5M</t>
  </si>
  <si>
    <t>$900M-$1.2B</t>
  </si>
  <si>
    <t>$12k-$15k</t>
  </si>
  <si>
    <t>$3.5M-$5M</t>
  </si>
  <si>
    <t>$1.2B-$1.5B</t>
  </si>
  <si>
    <t>$15k-$20k</t>
  </si>
  <si>
    <t>$5M-$6.5M</t>
  </si>
  <si>
    <t>$1.5B-$2B</t>
  </si>
  <si>
    <t>$20k-$27.5K</t>
  </si>
  <si>
    <t>$6.5M-$9M</t>
  </si>
  <si>
    <t>$2B-$2.75B</t>
  </si>
  <si>
    <t>$27.5K-$35k</t>
  </si>
  <si>
    <t>$9M-$12M</t>
  </si>
  <si>
    <t>$2.75B-$3.5B</t>
  </si>
  <si>
    <t>$35k-$50k</t>
  </si>
  <si>
    <t>$12M-$15M</t>
  </si>
  <si>
    <t>$3.5B-$5B</t>
  </si>
  <si>
    <t>$50k-$65k</t>
  </si>
  <si>
    <t>$15M-$20M</t>
  </si>
  <si>
    <t>$5B-$6.5B</t>
  </si>
  <si>
    <t>$65k-$90k</t>
  </si>
  <si>
    <t>$20M-$27.5M</t>
  </si>
  <si>
    <t>$6.5B-$9B</t>
  </si>
  <si>
    <t>$90k-$120k</t>
  </si>
  <si>
    <t>$27.5M-$35M</t>
  </si>
  <si>
    <t>$9B-$12B</t>
  </si>
  <si>
    <t>$120k-$150k</t>
  </si>
  <si>
    <t>$35M-$50M</t>
  </si>
  <si>
    <t>$12B-$15B</t>
  </si>
  <si>
    <t>$150k-$200k</t>
  </si>
  <si>
    <t>$50M-$65M</t>
  </si>
  <si>
    <t>$15B-$20B</t>
  </si>
  <si>
    <t>$200k-$275k</t>
  </si>
  <si>
    <t>$65M-$90M</t>
  </si>
  <si>
    <t>$20B-$27.5B</t>
  </si>
  <si>
    <t>$275k-$350k</t>
  </si>
  <si>
    <t>$90M-$120M</t>
  </si>
  <si>
    <t>$27.5B-$35B</t>
  </si>
  <si>
    <t>$350k-$500k</t>
  </si>
  <si>
    <t>$120M-$150M</t>
  </si>
  <si>
    <t>$35B-$50B</t>
  </si>
  <si>
    <t>$500k-$650k</t>
  </si>
  <si>
    <t>$150M-$200M</t>
  </si>
  <si>
    <t>$50B-$65B</t>
  </si>
  <si>
    <t>$650k-$900k</t>
  </si>
  <si>
    <t>$200M-$275M</t>
  </si>
  <si>
    <t>$65B-$90B</t>
  </si>
  <si>
    <t>Low</t>
  </si>
  <si>
    <t>High</t>
  </si>
  <si>
    <t>$6-$12</t>
  </si>
  <si>
    <t>$13-$20</t>
  </si>
  <si>
    <t>$21-$30</t>
  </si>
  <si>
    <t>$31-$40</t>
  </si>
  <si>
    <t>$41-$55</t>
  </si>
  <si>
    <t>$56-$70</t>
  </si>
  <si>
    <t>$71-$90</t>
  </si>
  <si>
    <t>$91-$120</t>
  </si>
  <si>
    <t>$121-$150</t>
  </si>
  <si>
    <t>$151-$200</t>
  </si>
  <si>
    <t>$201-$275</t>
  </si>
  <si>
    <t>$276-$350</t>
  </si>
  <si>
    <t>$351-$500</t>
  </si>
  <si>
    <t>$501-$650</t>
  </si>
  <si>
    <t>$651-$900</t>
  </si>
  <si>
    <t>$901-$1,200</t>
  </si>
  <si>
    <t>$1,201-$1,500</t>
  </si>
  <si>
    <t>$1,501-$2,000</t>
  </si>
  <si>
    <t>$2,001-$2,750</t>
  </si>
  <si>
    <t>$2,751-$3.5K</t>
  </si>
  <si>
    <t>Class #1</t>
  </si>
  <si>
    <t>Class #1 Level</t>
  </si>
  <si>
    <t>Class #1 Archetype</t>
  </si>
  <si>
    <t>Class #2</t>
  </si>
  <si>
    <t>Class #2 Level</t>
  </si>
  <si>
    <t>Class #2 Archetype</t>
  </si>
  <si>
    <t>Class Abilities</t>
  </si>
  <si>
    <t>Will Save</t>
  </si>
  <si>
    <t>Barbarian</t>
  </si>
  <si>
    <t>Fast Movement, Rage</t>
  </si>
  <si>
    <t>Rage Power</t>
  </si>
  <si>
    <t>BAB</t>
  </si>
  <si>
    <t>Fort Save</t>
  </si>
  <si>
    <t>Ref Save</t>
  </si>
  <si>
    <t>Class Ability</t>
  </si>
  <si>
    <t>Rage Power, Uncanny Dodge</t>
  </si>
  <si>
    <t>Danger Sense +1</t>
  </si>
  <si>
    <t>Improved Uncanny Dodge</t>
  </si>
  <si>
    <t>Investigator</t>
  </si>
  <si>
    <t>Alchemy, Inspiration, Trapfinding</t>
  </si>
  <si>
    <t>Poison Lore, Poison Resistance +2</t>
  </si>
  <si>
    <t>Investigator Talent, Keen Recollection, Trap Sense +1</t>
  </si>
  <si>
    <t>Studied Combat, Studied Strike +1d6, Swift Alchemy</t>
  </si>
  <si>
    <t>Investigator Talent, Poison Resistance +4</t>
  </si>
  <si>
    <t>Monk</t>
  </si>
  <si>
    <t>Bonus Feat, Flurry of Blows, Stunning Fist, Unarmed Strike</t>
  </si>
  <si>
    <t>Bonus Feat, Evasion</t>
  </si>
  <si>
    <t>Fast Movement, Ki Pool, Ki Strike (Magic)</t>
  </si>
  <si>
    <t>Ki Power, Still Mind</t>
  </si>
  <si>
    <t>Purity of Body, Style Strike (1/round)</t>
  </si>
  <si>
    <t>Ranger</t>
  </si>
  <si>
    <t>1st Favored Enemy, Track, Wild Empathy</t>
  </si>
  <si>
    <t>Combat Style Feat</t>
  </si>
  <si>
    <t>Endurance, 1st Favored Terrain</t>
  </si>
  <si>
    <t>Hunter's Bond</t>
  </si>
  <si>
    <t>2nd Favored Enemy</t>
  </si>
  <si>
    <t>Finesse Training, Sneak Attack +1d6, Trapfinding</t>
  </si>
  <si>
    <t>Evasion, Rogue Talent</t>
  </si>
  <si>
    <t>Danger Sense +1, Finesse Training, Sneak Attack +2d6</t>
  </si>
  <si>
    <t>Debilitating Injury, Rogue Talent, Uncanny Dodge</t>
  </si>
  <si>
    <t>Rogue's Edge, Sneak Attack +3d6</t>
  </si>
  <si>
    <t>Archetype</t>
  </si>
  <si>
    <t>Special</t>
  </si>
  <si>
    <t>Bonded Investigator</t>
  </si>
  <si>
    <t>Familiar</t>
  </si>
  <si>
    <t>Inspired Familiar, Studied Combat, Swift Alchemy</t>
  </si>
  <si>
    <t>Investigator Talent</t>
  </si>
  <si>
    <t>Empiricist</t>
  </si>
  <si>
    <t>Ceaseless Observation</t>
  </si>
  <si>
    <t>Studied Combat, Studied Strike +1d6, Unfailing Logic +2</t>
  </si>
  <si>
    <t>Natural Philosopher</t>
  </si>
  <si>
    <t>Alchemy, Natural Philosopher's Inspiration, Track</t>
  </si>
  <si>
    <t>Herbalism, Keen Recollection</t>
  </si>
  <si>
    <t>Psychic Detective</t>
  </si>
  <si>
    <t>Inspiration, Psychic Detective Spells, Trapfinding</t>
  </si>
  <si>
    <t>Psychic Meddler +1</t>
  </si>
  <si>
    <t>Keen Recollection, Phrenic Dabbler, Trap Sense +1</t>
  </si>
  <si>
    <t>Studied Combat, Studied Strike +1d6</t>
  </si>
  <si>
    <t>Investigator Talent, Psychic Meddler +2</t>
  </si>
  <si>
    <t>Questioner</t>
  </si>
  <si>
    <t>Steel Hound</t>
  </si>
  <si>
    <t>Packing Heat, Poison Resistance +2</t>
  </si>
  <si>
    <t>Shot in the Dark, Studied Combat, Studied Strike +1d6</t>
  </si>
  <si>
    <t>Class #1 Abilities</t>
  </si>
  <si>
    <t>Class #2 Abilities</t>
  </si>
  <si>
    <t>BAB #1</t>
  </si>
  <si>
    <t>Fort #1</t>
  </si>
  <si>
    <t>Ref #1</t>
  </si>
  <si>
    <t>Will #1</t>
  </si>
  <si>
    <t>BAB #2</t>
  </si>
  <si>
    <t>Fort #2</t>
  </si>
  <si>
    <t>Ref #2</t>
  </si>
  <si>
    <t>Will #2</t>
  </si>
  <si>
    <t>4. Gestalt Engine</t>
  </si>
  <si>
    <t>Class Skill</t>
  </si>
  <si>
    <t>Skill</t>
  </si>
  <si>
    <t>Appraise</t>
  </si>
  <si>
    <t>Bluff</t>
  </si>
  <si>
    <t>Concentration</t>
  </si>
  <si>
    <t>Balance</t>
  </si>
  <si>
    <t>Climb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</si>
</sst>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 applyProtection="1">
      <alignment horizontal="center"/>
      <protection locked="0"/>
    </xf>
    <xf numFmtId="1" fontId="0" fillId="3" borderId="3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4" borderId="2" xfId="0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3" fontId="4" fillId="0" borderId="0" xfId="0" applyNumberFormat="1" applyFont="1"/>
    <xf numFmtId="3" fontId="0" fillId="0" borderId="0" xfId="0" applyNumberFormat="1"/>
    <xf numFmtId="3" fontId="1" fillId="4" borderId="2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/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1" fillId="0" borderId="4" xfId="0" applyFont="1" applyBorder="1"/>
    <xf numFmtId="164" fontId="0" fillId="0" borderId="5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64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0" fillId="3" borderId="6" xfId="0" applyFill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" fontId="0" fillId="3" borderId="1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1" fillId="0" borderId="3" xfId="0" applyFont="1" applyBorder="1" applyAlignment="1">
      <alignment wrapText="1"/>
    </xf>
    <xf numFmtId="0" fontId="0" fillId="3" borderId="7" xfId="0" applyFill="1" applyBorder="1"/>
    <xf numFmtId="0" fontId="0" fillId="4" borderId="2" xfId="0" applyFill="1" applyBorder="1"/>
    <xf numFmtId="0" fontId="0" fillId="3" borderId="4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Font="1" applyBorder="1"/>
    <xf numFmtId="0" fontId="0" fillId="2" borderId="1" xfId="0" applyNumberFormat="1" applyFont="1" applyFill="1" applyBorder="1" applyAlignment="1" applyProtection="1">
      <alignment horizontal="center"/>
      <protection locked="0"/>
    </xf>
    <xf numFmtId="0" fontId="0" fillId="0" borderId="6" xfId="0" applyFont="1" applyBorder="1"/>
    <xf numFmtId="0" fontId="0" fillId="4" borderId="2" xfId="0" applyNumberFormat="1" applyFont="1" applyFill="1" applyBorder="1" applyAlignment="1" applyProtection="1">
      <alignment horizontal="center"/>
      <protection locked="0"/>
    </xf>
    <xf numFmtId="0" fontId="0" fillId="2" borderId="3" xfId="0" applyNumberFormat="1" applyFont="1" applyFill="1" applyBorder="1" applyAlignment="1" applyProtection="1">
      <alignment horizontal="center"/>
      <protection locked="0"/>
    </xf>
    <xf numFmtId="0" fontId="0" fillId="2" borderId="7" xfId="0" applyNumberFormat="1" applyFont="1" applyFill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11</xdr:row>
      <xdr:rowOff>76200</xdr:rowOff>
    </xdr:from>
    <xdr:to>
      <xdr:col>14</xdr:col>
      <xdr:colOff>285750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2270D2-3778-1902-38B0-E48FF0E3ACE3}"/>
            </a:ext>
          </a:extLst>
        </xdr:cNvPr>
        <xdr:cNvSpPr txBox="1"/>
      </xdr:nvSpPr>
      <xdr:spPr>
        <a:xfrm>
          <a:off x="7077075" y="2362200"/>
          <a:ext cx="301942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Data Normalization Engine</a:t>
          </a:r>
        </a:p>
        <a:p>
          <a:r>
            <a:rPr lang="en-US" sz="1100"/>
            <a:t>This cell uses dynamic arrays (LET, UNIQUE, MAXIFS)</a:t>
          </a:r>
          <a:r>
            <a:rPr lang="en-US" sz="1100" baseline="0"/>
            <a:t> to aggregate values while actively ignoring duplicate or outdated rows. This enforces a "Single Version of Truth" for the dataset without requiring manual data cleanup.</a:t>
          </a:r>
          <a:endParaRPr lang="en-US" sz="1100"/>
        </a:p>
      </xdr:txBody>
    </xdr:sp>
    <xdr:clientData/>
  </xdr:twoCellAnchor>
  <xdr:twoCellAnchor>
    <xdr:from>
      <xdr:col>4</xdr:col>
      <xdr:colOff>28575</xdr:colOff>
      <xdr:row>14</xdr:row>
      <xdr:rowOff>66675</xdr:rowOff>
    </xdr:from>
    <xdr:to>
      <xdr:col>9</xdr:col>
      <xdr:colOff>314325</xdr:colOff>
      <xdr:row>14</xdr:row>
      <xdr:rowOff>71438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A519450-0B6C-9903-7167-F2DB2F339D30}"/>
            </a:ext>
          </a:extLst>
        </xdr:cNvPr>
        <xdr:cNvCxnSpPr>
          <a:stCxn id="2" idx="1"/>
        </xdr:cNvCxnSpPr>
      </xdr:nvCxnSpPr>
      <xdr:spPr>
        <a:xfrm flipH="1" flipV="1">
          <a:off x="2952750" y="2933700"/>
          <a:ext cx="412432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10</xdr:row>
      <xdr:rowOff>95250</xdr:rowOff>
    </xdr:from>
    <xdr:to>
      <xdr:col>6</xdr:col>
      <xdr:colOff>1362075</xdr:colOff>
      <xdr:row>16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BDAA3E-2BDE-4B7D-B1A9-BCAF9EFDD342}"/>
            </a:ext>
          </a:extLst>
        </xdr:cNvPr>
        <xdr:cNvSpPr txBox="1"/>
      </xdr:nvSpPr>
      <xdr:spPr>
        <a:xfrm>
          <a:off x="3171825" y="2190750"/>
          <a:ext cx="3019425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Dynamic Rules Engine</a:t>
          </a:r>
        </a:p>
        <a:p>
          <a:r>
            <a:rPr lang="en-US" sz="1100"/>
            <a:t>This logic mirrors automated compliance auditing or incentive tracking</a:t>
          </a:r>
          <a:r>
            <a:rPr lang="en-US" sz="1100" baseline="0"/>
            <a:t>. The system evalues a complex Boolean matrix - e.g., </a:t>
          </a:r>
          <a:r>
            <a:rPr lang="en-US" sz="1100" i="1" baseline="0"/>
            <a:t>If Tool = X OR (Tool = Y AND User has Certification Z) </a:t>
          </a:r>
          <a:r>
            <a:rPr lang="en-US" sz="1100" i="0" baseline="0"/>
            <a:t>- to determine the correct numerical output based on intersecting conditions.</a:t>
          </a:r>
          <a:endParaRPr lang="en-US" sz="1100"/>
        </a:p>
      </xdr:txBody>
    </xdr:sp>
    <xdr:clientData/>
  </xdr:twoCellAnchor>
  <xdr:twoCellAnchor>
    <xdr:from>
      <xdr:col>3</xdr:col>
      <xdr:colOff>28575</xdr:colOff>
      <xdr:row>14</xdr:row>
      <xdr:rowOff>95250</xdr:rowOff>
    </xdr:from>
    <xdr:to>
      <xdr:col>5</xdr:col>
      <xdr:colOff>123825</xdr:colOff>
      <xdr:row>14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04D8311-E878-4D5A-8D6C-201AF444AC46}"/>
            </a:ext>
          </a:extLst>
        </xdr:cNvPr>
        <xdr:cNvCxnSpPr/>
      </xdr:nvCxnSpPr>
      <xdr:spPr>
        <a:xfrm flipH="1" flipV="1">
          <a:off x="1857375" y="3152775"/>
          <a:ext cx="13144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333376</xdr:colOff>
      <xdr:row>4</xdr:row>
      <xdr:rowOff>180976</xdr:rowOff>
    </xdr:from>
    <xdr:to>
      <xdr:col>7</xdr:col>
      <xdr:colOff>447676</xdr:colOff>
      <xdr:row>11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81ED11-F8CB-4B2A-B8D5-46E69934B1F6}"/>
            </a:ext>
          </a:extLst>
        </xdr:cNvPr>
        <xdr:cNvSpPr txBox="1"/>
      </xdr:nvSpPr>
      <xdr:spPr>
        <a:xfrm>
          <a:off x="942976" y="962026"/>
          <a:ext cx="5353050" cy="1162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Bidirectional Financial Modeling &amp; Data Binning</a:t>
          </a:r>
        </a:p>
        <a:p>
          <a:r>
            <a:rPr lang="en-US"/>
            <a:t>This engine performs two-way numerical transformation utilizing a 4-column reference architecture (Tier, Min, Max, Average). It translates abstract bands into standardized currency via exact match lookups, and reverse-calculates raw financial data back into system tiers using </a:t>
          </a:r>
          <a:r>
            <a:rPr lang="en-US" b="1"/>
            <a:t>Range-Based Lookups (Data Binning)</a:t>
          </a:r>
          <a:r>
            <a:rPr lang="en-US"/>
            <a:t>. This mirrors corporate financial models that map continuous variables (raw prices) into discrete analytical categories (pricing tiers).</a:t>
          </a:r>
          <a:endParaRPr lang="en-US" sz="1100"/>
        </a:p>
      </xdr:txBody>
    </xdr:sp>
    <xdr:clientData/>
  </xdr:twoCellAnchor>
  <xdr:twoCellAnchor>
    <xdr:from>
      <xdr:col>2</xdr:col>
      <xdr:colOff>466725</xdr:colOff>
      <xdr:row>3</xdr:row>
      <xdr:rowOff>19050</xdr:rowOff>
    </xdr:from>
    <xdr:to>
      <xdr:col>2</xdr:col>
      <xdr:colOff>476250</xdr:colOff>
      <xdr:row>5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A338488-493E-476B-B98C-7D65D5FA3092}"/>
            </a:ext>
          </a:extLst>
        </xdr:cNvPr>
        <xdr:cNvCxnSpPr/>
      </xdr:nvCxnSpPr>
      <xdr:spPr>
        <a:xfrm flipH="1" flipV="1">
          <a:off x="1952625" y="609600"/>
          <a:ext cx="9525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895350</xdr:colOff>
      <xdr:row>3</xdr:row>
      <xdr:rowOff>19050</xdr:rowOff>
    </xdr:from>
    <xdr:to>
      <xdr:col>6</xdr:col>
      <xdr:colOff>200025</xdr:colOff>
      <xdr:row>4</xdr:row>
      <xdr:rowOff>180975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C05A51A-7E29-4BE3-B1A0-303C5BAFE72B}"/>
            </a:ext>
          </a:extLst>
        </xdr:cNvPr>
        <xdr:cNvCxnSpPr/>
      </xdr:nvCxnSpPr>
      <xdr:spPr>
        <a:xfrm flipV="1">
          <a:off x="4914900" y="609600"/>
          <a:ext cx="238125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11</xdr:row>
      <xdr:rowOff>28575</xdr:rowOff>
    </xdr:from>
    <xdr:to>
      <xdr:col>3</xdr:col>
      <xdr:colOff>695325</xdr:colOff>
      <xdr:row>15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9CB50CE-2B5B-4FB1-B9FD-7AEE081AC6DA}"/>
            </a:ext>
          </a:extLst>
        </xdr:cNvPr>
        <xdr:cNvCxnSpPr/>
      </xdr:nvCxnSpPr>
      <xdr:spPr>
        <a:xfrm flipH="1">
          <a:off x="3028950" y="2143125"/>
          <a:ext cx="9525" cy="895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3</xdr:col>
      <xdr:colOff>1266825</xdr:colOff>
      <xdr:row>22</xdr:row>
      <xdr:rowOff>176396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44CB7-FFF1-364C-9C43-03A6EB19B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2476500"/>
          <a:ext cx="2562225" cy="2081396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7</xdr:row>
      <xdr:rowOff>19050</xdr:rowOff>
    </xdr:from>
    <xdr:to>
      <xdr:col>3</xdr:col>
      <xdr:colOff>161925</xdr:colOff>
      <xdr:row>11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BB6A873-0E46-4F41-A3AC-BEF48C8DD721}"/>
            </a:ext>
          </a:extLst>
        </xdr:cNvPr>
        <xdr:cNvCxnSpPr/>
      </xdr:nvCxnSpPr>
      <xdr:spPr>
        <a:xfrm flipV="1">
          <a:off x="2105025" y="1543050"/>
          <a:ext cx="314325" cy="923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7</xdr:row>
      <xdr:rowOff>19050</xdr:rowOff>
    </xdr:from>
    <xdr:to>
      <xdr:col>7</xdr:col>
      <xdr:colOff>695325</xdr:colOff>
      <xdr:row>11</xdr:row>
      <xdr:rowOff>142875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0685601-A50A-406C-BB0B-3C1BAF198A14}"/>
            </a:ext>
          </a:extLst>
        </xdr:cNvPr>
        <xdr:cNvCxnSpPr/>
      </xdr:nvCxnSpPr>
      <xdr:spPr>
        <a:xfrm flipV="1">
          <a:off x="6505575" y="1562100"/>
          <a:ext cx="295275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2419350</xdr:colOff>
      <xdr:row>7</xdr:row>
      <xdr:rowOff>28575</xdr:rowOff>
    </xdr:from>
    <xdr:to>
      <xdr:col>28</xdr:col>
      <xdr:colOff>371475</xdr:colOff>
      <xdr:row>13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AD9DB34-B7C4-4FBB-AE90-6D17D460340F}"/>
            </a:ext>
          </a:extLst>
        </xdr:cNvPr>
        <xdr:cNvCxnSpPr/>
      </xdr:nvCxnSpPr>
      <xdr:spPr>
        <a:xfrm flipV="1">
          <a:off x="8524875" y="1571625"/>
          <a:ext cx="22593300" cy="1247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552450</xdr:colOff>
      <xdr:row>11</xdr:row>
      <xdr:rowOff>180975</xdr:rowOff>
    </xdr:from>
    <xdr:to>
      <xdr:col>7</xdr:col>
      <xdr:colOff>2381250</xdr:colOff>
      <xdr:row>20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43DD87A-2C3D-45E3-8570-490A3A957CE9}"/>
            </a:ext>
          </a:extLst>
        </xdr:cNvPr>
        <xdr:cNvSpPr txBox="1"/>
      </xdr:nvSpPr>
      <xdr:spPr>
        <a:xfrm>
          <a:off x="4086225" y="2486025"/>
          <a:ext cx="4400550" cy="162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End-to-End Data Pipeline &amp; State-Dependent UI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demonstrates a complete, closed-loop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ETL Pipeline with Front-End Governance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In a corporate environment, Stage 1 enforces data integrity at the source via dependent validation (cascading menus). Stage 2 mirrors extracting data from multiple tables based on system flags, utilizing in-memory array concatenation ($O$7:$O$31&amp;"/"&amp;$P$7:$P$31) to create dynamic composite keys without needing hardcoded helper columns. Finally, Stage 3 transforms the disparate text fields into a single, user-friendly string while gracefully handling nulls.</a:t>
          </a:r>
          <a:endParaRPr lang="en-US" sz="1100"/>
        </a:p>
      </xdr:txBody>
    </xdr:sp>
    <xdr:clientData/>
  </xdr:twoCellAnchor>
  <xdr:twoCellAnchor>
    <xdr:from>
      <xdr:col>3</xdr:col>
      <xdr:colOff>1009650</xdr:colOff>
      <xdr:row>7</xdr:row>
      <xdr:rowOff>19050</xdr:rowOff>
    </xdr:from>
    <xdr:to>
      <xdr:col>4</xdr:col>
      <xdr:colOff>733425</xdr:colOff>
      <xdr:row>11</xdr:row>
      <xdr:rowOff>180975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1EC62E5-E9A6-4604-A4F0-B9019139A88B}"/>
            </a:ext>
          </a:extLst>
        </xdr:cNvPr>
        <xdr:cNvCxnSpPr/>
      </xdr:nvCxnSpPr>
      <xdr:spPr>
        <a:xfrm flipH="1" flipV="1">
          <a:off x="3267075" y="1562100"/>
          <a:ext cx="1000125" cy="923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12</xdr:col>
      <xdr:colOff>9525</xdr:colOff>
      <xdr:row>13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6DCA1A-CDF0-4F05-89AB-8A25E3268E80}"/>
            </a:ext>
          </a:extLst>
        </xdr:cNvPr>
        <xdr:cNvSpPr txBox="1"/>
      </xdr:nvSpPr>
      <xdr:spPr>
        <a:xfrm>
          <a:off x="2495550" y="1524000"/>
          <a:ext cx="5429250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Boolean Eligibility Logic</a:t>
          </a:r>
        </a:p>
        <a:p>
          <a:r>
            <a:rPr lang="en-US" sz="1100" b="0"/>
            <a:t>This demonstrates a hardcoded </a:t>
          </a:r>
          <a:r>
            <a:rPr lang="en-US" sz="1100" b="1"/>
            <a:t>Rules Engine</a:t>
          </a:r>
          <a:r>
            <a:rPr lang="en-US" sz="1100" b="0"/>
            <a:t> utilizing Array Constants and Double Unaries (--) for high-efficiency eligibility checking. In a corporate environment, this mirrors </a:t>
          </a:r>
          <a:r>
            <a:rPr lang="en-US" sz="1100" b="1"/>
            <a:t>Role-Based Access Control (RBAC)</a:t>
          </a:r>
          <a:r>
            <a:rPr lang="en-US" sz="1100" b="0"/>
            <a:t>. By comparing a user's active "roles" (e.g., Fighter, Wizard) against an array of approved roles for a specific "system" or asset (e.g., the Bluff skill), it securely converts Boolean </a:t>
          </a:r>
          <a:r>
            <a:rPr lang="en-US" sz="1100" b="0" i="1"/>
            <a:t>TRUE/FALSE</a:t>
          </a:r>
          <a:r>
            <a:rPr lang="en-US" sz="1100" b="0"/>
            <a:t> evaluations into a binary access gate, bypassing the need for massive, nested </a:t>
          </a:r>
          <a:r>
            <a:rPr lang="en-US" sz="1100" b="0" i="1"/>
            <a:t>OR</a:t>
          </a:r>
          <a:r>
            <a:rPr lang="en-US" sz="1100" b="0"/>
            <a:t> statements.</a:t>
          </a:r>
        </a:p>
      </xdr:txBody>
    </xdr:sp>
    <xdr:clientData/>
  </xdr:twoCellAnchor>
  <xdr:twoCellAnchor>
    <xdr:from>
      <xdr:col>2</xdr:col>
      <xdr:colOff>38100</xdr:colOff>
      <xdr:row>4</xdr:row>
      <xdr:rowOff>152400</xdr:rowOff>
    </xdr:from>
    <xdr:to>
      <xdr:col>4</xdr:col>
      <xdr:colOff>0</xdr:colOff>
      <xdr:row>9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CD521F7-86FF-4BE4-81B6-491888E8DCF7}"/>
            </a:ext>
          </a:extLst>
        </xdr:cNvPr>
        <xdr:cNvCxnSpPr/>
      </xdr:nvCxnSpPr>
      <xdr:spPr>
        <a:xfrm flipH="1" flipV="1">
          <a:off x="1009650" y="1104900"/>
          <a:ext cx="1485900" cy="904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7CFB7-A1CC-4C44-BDA4-C6958A92FD3F}" name="Classes" displayName="Classes" ref="G2:I14" totalsRowShown="0">
  <autoFilter ref="G2:I14" xr:uid="{E447CFB7-A1CC-4C44-BDA4-C6958A92FD3F}">
    <filterColumn colId="0" hiddenButton="1"/>
    <filterColumn colId="1" hiddenButton="1"/>
    <filterColumn colId="2" hiddenButton="1"/>
  </autoFilter>
  <tableColumns count="3">
    <tableColumn id="1" xr3:uid="{31B5570B-D508-463F-9A03-F0A1C98681C9}" name="Class" dataDxfId="26"/>
    <tableColumn id="2" xr3:uid="{BFB10E4F-A2E3-4E2E-A5E7-AA1B521955F0}" name="Level" dataDxfId="25"/>
    <tableColumn id="3" xr3:uid="{56419279-C482-4D63-AA65-04452918577F}" name="Attack Bonus" dataDxfId="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832BB-C592-4990-A652-5300E5256792}" name="Abilities" displayName="Abilities" ref="B2:D8" totalsRowShown="0" headerRowDxfId="23" dataDxfId="21" headerRowBorderDxfId="22" tableBorderDxfId="20" totalsRowBorderDxfId="19">
  <autoFilter ref="B2:D8" xr:uid="{77B832BB-C592-4990-A652-5300E5256792}">
    <filterColumn colId="0" hiddenButton="1"/>
    <filterColumn colId="1" hiddenButton="1"/>
    <filterColumn colId="2" hiddenButton="1"/>
  </autoFilter>
  <tableColumns count="3">
    <tableColumn id="1" xr3:uid="{72D8CF12-427A-48CE-87CF-97645293A7E1}" name="ATTR" dataDxfId="18"/>
    <tableColumn id="2" xr3:uid="{465ACB41-35EA-40D5-AC35-101B06DB9513}" name="ABILITY SCORE" dataDxfId="17"/>
    <tableColumn id="5" xr3:uid="{0607F174-7B75-408E-8C4B-9E822D3C724A}" name="ABILITY MOD" dataDxfId="16">
      <calculatedColumnFormula>ROUNDDOWN(($C3-10)/2,0)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937D92-115A-419F-9DB8-B870C370F3DE}" name="Table5" displayName="Table5" ref="K15:N94" headerRowCount="0" totalsRowShown="0" headerRowDxfId="15">
  <tableColumns count="4">
    <tableColumn id="1" xr3:uid="{CC1BAF81-9C2E-481F-A7CF-C5090F0DDC7B}" name="Column1" headerRowDxfId="14" dataDxfId="13"/>
    <tableColumn id="2" xr3:uid="{08D59238-C4F6-451D-B6DB-063977110549}" name="Column2" headerRowDxfId="12" dataDxfId="11"/>
    <tableColumn id="3" xr3:uid="{881F3381-68FC-4354-A7A6-E6138AB29844}" name="Column3" headerRowDxfId="10" dataDxfId="9"/>
    <tableColumn id="4" xr3:uid="{FBEECEE4-0B86-4C3E-A37F-E34CFE4FE020}" name="Column4" headerRowDxfId="8" dataDxfId="7">
      <calculatedColumnFormula>AVERAGE($L15:$M15)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76C194-288C-48CF-99C0-3E2A981B9944}" name="Table4" displayName="Table4" ref="O6:U31" totalsRowShown="0" headerRowDxfId="6">
  <autoFilter ref="O6:U31" xr:uid="{AE76C194-288C-48CF-99C0-3E2A981B99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1FC68BB-2984-4F49-A703-B3807966BE1C}" name="Class"/>
    <tableColumn id="2" xr3:uid="{6FA2D948-0D48-4CC2-8C80-493DFBD1820F}" name="Level" dataDxfId="5"/>
    <tableColumn id="3" xr3:uid="{2DE98F82-8846-4636-8A8F-0A4108FDD9D1}" name="BAB" dataDxfId="4"/>
    <tableColumn id="4" xr3:uid="{84F028FF-C79B-4129-B285-938FDF86DC37}" name="Fort Save" dataDxfId="3"/>
    <tableColumn id="5" xr3:uid="{D86DDE05-0752-48FF-BE98-9EFD2793A73E}" name="Ref Save" dataDxfId="2"/>
    <tableColumn id="6" xr3:uid="{2FF8358A-5037-4D02-A191-EDBDF6DD0309}" name="Will Save" dataDxfId="1"/>
    <tableColumn id="7" xr3:uid="{ADB2F8E1-6ADB-4436-9D16-1216F45D9E3F}" name="Class Ability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1E175F-246F-4E77-9A9C-4BA228A68AFD}" name="Table6" displayName="Table6" ref="X6:Z36" totalsRowShown="0">
  <autoFilter ref="X6:Z36" xr:uid="{D31E175F-246F-4E77-9A9C-4BA228A68AFD}">
    <filterColumn colId="0" hiddenButton="1"/>
    <filterColumn colId="1" hiddenButton="1"/>
    <filterColumn colId="2" hiddenButton="1"/>
  </autoFilter>
  <tableColumns count="3">
    <tableColumn id="1" xr3:uid="{469571E1-53E9-4D6E-ADA7-365B313E5786}" name="Archetype"/>
    <tableColumn id="2" xr3:uid="{E4385B2F-DD99-490A-AFBB-50A93176C654}" name="Level" dataDxfId="0"/>
    <tableColumn id="3" xr3:uid="{E312DB2C-2A3D-44AB-9E3A-C2D769C7441C}" name="Speci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3642-9A93-45A6-9DF9-67AA4D7A1BA5}">
  <dimension ref="A1:A7"/>
  <sheetViews>
    <sheetView showGridLines="0" tabSelected="1" workbookViewId="0">
      <selection activeCell="A8" sqref="A8"/>
    </sheetView>
  </sheetViews>
  <sheetFormatPr defaultRowHeight="15" x14ac:dyDescent="0.25"/>
  <cols>
    <col min="1" max="1" width="53.42578125" bestFit="1" customWidth="1"/>
  </cols>
  <sheetData>
    <row r="1" spans="1:1" ht="18.75" x14ac:dyDescent="0.3">
      <c r="A1" s="2" t="s">
        <v>0</v>
      </c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194</v>
      </c>
    </row>
    <row r="7" spans="1:1" x14ac:dyDescent="0.25">
      <c r="A7" s="3" t="s">
        <v>4</v>
      </c>
    </row>
  </sheetData>
  <hyperlinks>
    <hyperlink ref="A3" location="'1_Data_Integrity'!A1" display="1_Data_Integrity" xr:uid="{A874F0A3-DBB1-48B1-8E83-C7EB2ADE0946}"/>
    <hyperlink ref="A4" location="'2_Rules_Engine'!A1" display="2_Rules_Engine" xr:uid="{89511929-7DA3-482C-A6F0-96F1A78B832C}"/>
    <hyperlink ref="A5" location="'3_Financial_Model'!A1" display="3_Financial_Model" xr:uid="{745D2021-03DC-4BD7-AB63-FF99026DDD33}"/>
    <hyperlink ref="A6" location="'4_Gestalt_Engine'!A1" display="4. Gestalt Engine" xr:uid="{683BA514-A510-4C06-9CC5-7DF2F79B8DCA}"/>
    <hyperlink ref="A7" location="'5_Boolean_Logic'!A1" display="5. Boolean Logic" xr:uid="{789A626E-47ED-4AC5-BCEC-3969AFB502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D236-E667-427E-B7A0-98758A9462EE}">
  <dimension ref="A1:M15"/>
  <sheetViews>
    <sheetView workbookViewId="0"/>
  </sheetViews>
  <sheetFormatPr defaultRowHeight="15" x14ac:dyDescent="0.25"/>
  <cols>
    <col min="1" max="1" width="14.42578125" bestFit="1" customWidth="1"/>
    <col min="2" max="2" width="11.42578125" customWidth="1"/>
    <col min="3" max="3" width="6.5703125" style="7" bestFit="1" customWidth="1"/>
    <col min="4" max="4" width="11.42578125" style="4" bestFit="1" customWidth="1"/>
    <col min="7" max="7" width="15.5703125" bestFit="1" customWidth="1"/>
    <col min="8" max="8" width="9.140625" style="5"/>
    <col min="9" max="9" width="14.5703125" style="6" customWidth="1"/>
  </cols>
  <sheetData>
    <row r="1" spans="1:13" x14ac:dyDescent="0.25">
      <c r="G1" s="1" t="s">
        <v>11</v>
      </c>
    </row>
    <row r="2" spans="1:13" ht="30" x14ac:dyDescent="0.25">
      <c r="A2" s="47" t="s">
        <v>15</v>
      </c>
      <c r="B2" s="48" t="s">
        <v>5</v>
      </c>
      <c r="C2" s="49" t="s">
        <v>14</v>
      </c>
      <c r="D2" s="50" t="s">
        <v>7</v>
      </c>
      <c r="G2" t="s">
        <v>8</v>
      </c>
      <c r="H2" t="s">
        <v>6</v>
      </c>
      <c r="I2" s="6" t="s">
        <v>9</v>
      </c>
      <c r="K2" s="62" t="s">
        <v>17</v>
      </c>
      <c r="L2" s="62"/>
      <c r="M2" s="62"/>
    </row>
    <row r="3" spans="1:13" x14ac:dyDescent="0.25">
      <c r="A3" s="8">
        <v>1</v>
      </c>
      <c r="B3" s="9" t="s">
        <v>10</v>
      </c>
      <c r="C3" s="14">
        <v>1</v>
      </c>
      <c r="D3" s="13" cm="1">
        <f t="array" ref="D3">_xlfn.IFNA(_xlfn.XLOOKUP($B3&amp;"/"&amp;$C3,$G$3:$G$14&amp;"/"&amp;$H$3:$H$14,$I$3:$I$14,,0,1),"")</f>
        <v>1</v>
      </c>
      <c r="G3" t="s">
        <v>10</v>
      </c>
      <c r="H3" s="5">
        <v>1</v>
      </c>
      <c r="I3" s="5">
        <v>1</v>
      </c>
      <c r="K3" s="63" t="s">
        <v>18</v>
      </c>
      <c r="L3" s="63"/>
      <c r="M3" s="9"/>
    </row>
    <row r="4" spans="1:13" x14ac:dyDescent="0.25">
      <c r="A4" s="8">
        <v>2</v>
      </c>
      <c r="B4" s="9" t="s">
        <v>13</v>
      </c>
      <c r="C4" s="14">
        <v>1</v>
      </c>
      <c r="D4" s="13" cm="1">
        <f t="array" ref="D4">_xlfn.IFNA(_xlfn.XLOOKUP($B4&amp;"/"&amp;$C4,$G$3:$G$14&amp;"/"&amp;$H$3:$H$14,$I$3:$I$14,,0,1),"")</f>
        <v>0</v>
      </c>
      <c r="G4" t="s">
        <v>10</v>
      </c>
      <c r="H4" s="5">
        <v>2</v>
      </c>
      <c r="I4" s="5">
        <v>2</v>
      </c>
      <c r="K4" s="63" t="s">
        <v>19</v>
      </c>
      <c r="L4" s="63"/>
      <c r="M4" s="12"/>
    </row>
    <row r="5" spans="1:13" x14ac:dyDescent="0.25">
      <c r="A5" s="8">
        <v>3</v>
      </c>
      <c r="B5" s="9" t="s">
        <v>13</v>
      </c>
      <c r="C5" s="14">
        <v>2</v>
      </c>
      <c r="D5" s="13" cm="1">
        <f t="array" ref="D5">_xlfn.IFNA(_xlfn.XLOOKUP($B5&amp;"/"&amp;$C5,$G$3:$G$14&amp;"/"&amp;$H$3:$H$14,$I$3:$I$14,,0,1),"")</f>
        <v>1</v>
      </c>
      <c r="G5" t="s">
        <v>10</v>
      </c>
      <c r="H5" s="5">
        <v>3</v>
      </c>
      <c r="I5" s="5">
        <v>3</v>
      </c>
    </row>
    <row r="6" spans="1:13" x14ac:dyDescent="0.25">
      <c r="A6" s="8">
        <v>4</v>
      </c>
      <c r="B6" s="9" t="s">
        <v>10</v>
      </c>
      <c r="C6" s="14">
        <v>2</v>
      </c>
      <c r="D6" s="13" cm="1">
        <f t="array" ref="D6">_xlfn.IFNA(_xlfn.XLOOKUP($B6&amp;"/"&amp;$C6,$G$3:$G$14&amp;"/"&amp;$H$3:$H$14,$I$3:$I$14,,0,1),"")</f>
        <v>2</v>
      </c>
      <c r="G6" t="s">
        <v>10</v>
      </c>
      <c r="H6" s="5">
        <v>4</v>
      </c>
      <c r="I6" s="5">
        <v>4</v>
      </c>
    </row>
    <row r="7" spans="1:13" x14ac:dyDescent="0.25">
      <c r="A7" s="8">
        <v>5</v>
      </c>
      <c r="B7" s="9" t="s">
        <v>13</v>
      </c>
      <c r="C7" s="14">
        <v>3</v>
      </c>
      <c r="D7" s="13" cm="1">
        <f t="array" ref="D7">_xlfn.IFNA(_xlfn.XLOOKUP($B7&amp;"/"&amp;$C7,$G$3:$G$14&amp;"/"&amp;$H$3:$H$14,$I$3:$I$14,,0,1),"")</f>
        <v>1</v>
      </c>
      <c r="G7" t="s">
        <v>12</v>
      </c>
      <c r="H7" s="5">
        <v>1</v>
      </c>
      <c r="I7" s="5">
        <v>0</v>
      </c>
    </row>
    <row r="8" spans="1:13" x14ac:dyDescent="0.25">
      <c r="A8" s="8">
        <v>6</v>
      </c>
      <c r="B8" s="9" t="s">
        <v>10</v>
      </c>
      <c r="C8" s="14">
        <v>3</v>
      </c>
      <c r="D8" s="13" cm="1">
        <f t="array" ref="D8">_xlfn.IFNA(_xlfn.XLOOKUP($B8&amp;"/"&amp;$C8,$G$3:$G$14&amp;"/"&amp;$H$3:$H$14,$I$3:$I$14,,0,1),"")</f>
        <v>3</v>
      </c>
      <c r="G8" t="s">
        <v>12</v>
      </c>
      <c r="H8" s="5">
        <v>2</v>
      </c>
      <c r="I8" s="5">
        <v>1</v>
      </c>
    </row>
    <row r="9" spans="1:13" x14ac:dyDescent="0.25">
      <c r="A9" s="8">
        <v>7</v>
      </c>
      <c r="B9" s="9" t="s">
        <v>10</v>
      </c>
      <c r="C9" s="14">
        <v>4</v>
      </c>
      <c r="D9" s="13" cm="1">
        <f t="array" ref="D9">_xlfn.IFNA(_xlfn.XLOOKUP($B9&amp;"/"&amp;$C9,$G$3:$G$14&amp;"/"&amp;$H$3:$H$14,$I$3:$I$14,,0,1),"")</f>
        <v>4</v>
      </c>
      <c r="G9" t="s">
        <v>12</v>
      </c>
      <c r="H9" s="5">
        <v>3</v>
      </c>
      <c r="I9" s="5">
        <v>2</v>
      </c>
    </row>
    <row r="10" spans="1:13" x14ac:dyDescent="0.25">
      <c r="A10" s="8">
        <v>8</v>
      </c>
      <c r="B10" s="9" t="s">
        <v>13</v>
      </c>
      <c r="C10" s="14">
        <v>4</v>
      </c>
      <c r="D10" s="13" cm="1">
        <f t="array" ref="D10">_xlfn.IFNA(_xlfn.XLOOKUP($B10&amp;"/"&amp;$C10,$G$3:$G$14&amp;"/"&amp;$H$3:$H$14,$I$3:$I$14,,0,1),"")</f>
        <v>2</v>
      </c>
      <c r="G10" t="s">
        <v>12</v>
      </c>
      <c r="H10" s="5">
        <v>4</v>
      </c>
      <c r="I10" s="5">
        <v>3</v>
      </c>
    </row>
    <row r="11" spans="1:13" x14ac:dyDescent="0.25">
      <c r="A11" s="8">
        <v>9</v>
      </c>
      <c r="B11" s="9"/>
      <c r="C11" s="14"/>
      <c r="D11" s="13" t="str" cm="1">
        <f t="array" ref="D11">_xlfn.IFNA(_xlfn.XLOOKUP($B11&amp;"/"&amp;$C11,$G$3:$G$14&amp;"/"&amp;$H$3:$H$14,$I$3:$I$14,,0,1),"")</f>
        <v/>
      </c>
      <c r="G11" t="s">
        <v>13</v>
      </c>
      <c r="H11" s="5">
        <v>1</v>
      </c>
      <c r="I11" s="5">
        <v>0</v>
      </c>
    </row>
    <row r="12" spans="1:13" x14ac:dyDescent="0.25">
      <c r="A12" s="8">
        <v>10</v>
      </c>
      <c r="B12" s="9"/>
      <c r="C12" s="14"/>
      <c r="D12" s="13" t="str" cm="1">
        <f t="array" ref="D12">_xlfn.IFNA(_xlfn.XLOOKUP($B12&amp;"/"&amp;$C12,$G$3:$G$14&amp;"/"&amp;$H$3:$H$14,$I$3:$I$14,,0,1),"")</f>
        <v/>
      </c>
      <c r="G12" t="s">
        <v>13</v>
      </c>
      <c r="H12" s="5">
        <v>2</v>
      </c>
      <c r="I12" s="5">
        <v>1</v>
      </c>
    </row>
    <row r="13" spans="1:13" x14ac:dyDescent="0.25">
      <c r="A13" s="8">
        <v>11</v>
      </c>
      <c r="B13" s="9"/>
      <c r="C13" s="14"/>
      <c r="D13" s="13" t="str" cm="1">
        <f t="array" ref="D13">_xlfn.IFNA(_xlfn.XLOOKUP($B13&amp;"/"&amp;$C13,$G$3:$G$14&amp;"/"&amp;$H$3:$H$14,$I$3:$I$14,,0,1),"")</f>
        <v/>
      </c>
      <c r="G13" t="s">
        <v>13</v>
      </c>
      <c r="H13" s="5">
        <v>3</v>
      </c>
      <c r="I13" s="5">
        <v>1</v>
      </c>
    </row>
    <row r="14" spans="1:13" ht="15.75" thickBot="1" x14ac:dyDescent="0.3">
      <c r="A14" s="8">
        <v>12</v>
      </c>
      <c r="B14" s="9"/>
      <c r="C14" s="14"/>
      <c r="D14" s="15" t="str" cm="1">
        <f t="array" ref="D14">_xlfn.IFNA(_xlfn.XLOOKUP($B14&amp;"/"&amp;$C14,$G$3:$G$14&amp;"/"&amp;$H$3:$H$14,$I$3:$I$14,,0,1),"")</f>
        <v/>
      </c>
      <c r="G14" t="s">
        <v>13</v>
      </c>
      <c r="H14" s="5">
        <v>4</v>
      </c>
      <c r="I14" s="5">
        <v>2</v>
      </c>
    </row>
    <row r="15" spans="1:13" ht="15.75" thickBot="1" x14ac:dyDescent="0.3">
      <c r="A15" s="1"/>
      <c r="B15" s="45" t="s">
        <v>16</v>
      </c>
      <c r="C15" s="46"/>
      <c r="D15" s="16" t="str" cm="1">
        <f t="array" ref="D15">_xlfn.CONCAT("+ ",_xlfn.SINGLE(_xlfn.LET(_xlpm.u,_xlfn.UNIQUE($B$3:$B$14),_xlpm.m,_xlfn.MAXIFS($C$3:$C$14,$B$3:$B$14,_xlpm.u),SUM(_xlfn.MAXIFS(D$3:D$14,$B$3:$B$14,_xlpm.u,$C$3:$C$14,_xlpm.m)))))</f>
        <v>+ 6</v>
      </c>
    </row>
  </sheetData>
  <mergeCells count="3">
    <mergeCell ref="K2:M2"/>
    <mergeCell ref="K3:L3"/>
    <mergeCell ref="K4:L4"/>
  </mergeCells>
  <dataValidations count="13">
    <dataValidation type="list" allowBlank="1" showInputMessage="1" showErrorMessage="1" sqref="C3" xr:uid="{43F979D9-AA17-4A00-802C-7B8DA7D91E77}">
      <formula1>"1"</formula1>
    </dataValidation>
    <dataValidation type="list" allowBlank="1" showInputMessage="1" showErrorMessage="1" sqref="C4" xr:uid="{78CA0EB7-7EE9-4E38-99AB-B636CFCAD82A}">
      <formula1>"1,2"</formula1>
    </dataValidation>
    <dataValidation type="list" allowBlank="1" showInputMessage="1" showErrorMessage="1" sqref="B3:B14" xr:uid="{9F83C9F6-9C8F-4747-A9F3-1BD4297D4B26}">
      <formula1>"Fighter,Rogue,Wizard"</formula1>
    </dataValidation>
    <dataValidation type="list" allowBlank="1" showInputMessage="1" showErrorMessage="1" sqref="C5" xr:uid="{75098BCC-C10C-41A8-ADE1-102C1A27DCD4}">
      <formula1>"1,2,3"</formula1>
    </dataValidation>
    <dataValidation type="list" allowBlank="1" showInputMessage="1" showErrorMessage="1" sqref="C6" xr:uid="{E2B63BEA-0920-4BA9-8D26-D7BB090300E4}">
      <formula1>"1,2,3,4"</formula1>
    </dataValidation>
    <dataValidation type="list" allowBlank="1" showInputMessage="1" showErrorMessage="1" sqref="C7" xr:uid="{97BED2D9-88EF-46BE-BFF7-3CC330152C9B}">
      <formula1>"1,2,3,4,5"</formula1>
    </dataValidation>
    <dataValidation type="list" allowBlank="1" showInputMessage="1" showErrorMessage="1" sqref="C8" xr:uid="{FD7050E4-33E6-4EF3-B650-51240660BAF1}">
      <formula1>"1,2,3,4,5,6"</formula1>
    </dataValidation>
    <dataValidation type="list" allowBlank="1" showInputMessage="1" showErrorMessage="1" sqref="C9" xr:uid="{C501DA67-4F93-47AD-99F7-EB21D4745833}">
      <formula1>"1,2,3,4,5,6,7"</formula1>
    </dataValidation>
    <dataValidation type="list" allowBlank="1" showInputMessage="1" showErrorMessage="1" sqref="C10" xr:uid="{8D3C5AC9-7DB8-4010-8748-6E12D64AC541}">
      <formula1>"1,2,3,4,5,6,7,8"</formula1>
    </dataValidation>
    <dataValidation type="list" allowBlank="1" showInputMessage="1" showErrorMessage="1" sqref="C11" xr:uid="{A92D5DF2-4585-432C-AE8E-57F38F1CEE74}">
      <formula1>"1,2,3,4,5,6,7,8,9"</formula1>
    </dataValidation>
    <dataValidation type="list" allowBlank="1" showInputMessage="1" showErrorMessage="1" sqref="C12" xr:uid="{94DB128B-003D-4754-88E1-8A117E28DD39}">
      <formula1>"1,2,3,4,5,6,7,8,9,10"</formula1>
    </dataValidation>
    <dataValidation type="list" allowBlank="1" showInputMessage="1" showErrorMessage="1" sqref="C13" xr:uid="{786252B5-8937-4E7D-927D-DF73851BD421}">
      <formula1>"1,2,3,4,5,6,7,8,9,10,11"</formula1>
    </dataValidation>
    <dataValidation type="list" allowBlank="1" showInputMessage="1" showErrorMessage="1" sqref="C14" xr:uid="{8DB10703-9669-451A-BC1F-76CC3750DE03}">
      <formula1>"1,2,3,4,5,6,7,8,9,10,11,12"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D18A-4B14-4275-ACF0-9167ED5598B5}">
  <dimension ref="B2:L15"/>
  <sheetViews>
    <sheetView workbookViewId="0"/>
  </sheetViews>
  <sheetFormatPr defaultRowHeight="15" x14ac:dyDescent="0.25"/>
  <cols>
    <col min="6" max="6" width="26.7109375" customWidth="1"/>
    <col min="7" max="7" width="30" customWidth="1"/>
  </cols>
  <sheetData>
    <row r="2" spans="2:12" ht="30" x14ac:dyDescent="0.25">
      <c r="B2" s="20" t="s">
        <v>20</v>
      </c>
      <c r="C2" s="20" t="s">
        <v>21</v>
      </c>
      <c r="D2" s="20" t="s">
        <v>22</v>
      </c>
      <c r="F2" s="20" t="s">
        <v>30</v>
      </c>
      <c r="G2" s="10" t="s">
        <v>31</v>
      </c>
      <c r="J2" s="62" t="s">
        <v>17</v>
      </c>
      <c r="K2" s="62"/>
      <c r="L2" s="62"/>
    </row>
    <row r="3" spans="2:12" x14ac:dyDescent="0.25">
      <c r="B3" s="11" t="s">
        <v>23</v>
      </c>
      <c r="C3" s="18">
        <v>10</v>
      </c>
      <c r="D3" s="17">
        <f>ROUNDDOWN(($C3-10)/2,0)</f>
        <v>0</v>
      </c>
      <c r="F3" s="42"/>
      <c r="G3" s="43" t="s">
        <v>35</v>
      </c>
      <c r="J3" s="63" t="s">
        <v>18</v>
      </c>
      <c r="K3" s="63"/>
      <c r="L3" s="9"/>
    </row>
    <row r="4" spans="2:12" x14ac:dyDescent="0.25">
      <c r="B4" s="11" t="s">
        <v>24</v>
      </c>
      <c r="C4" s="18">
        <v>20</v>
      </c>
      <c r="D4" s="17">
        <f t="shared" ref="D4:D8" si="0">ROUNDDOWN(($C4-10)/2,0)</f>
        <v>5</v>
      </c>
      <c r="F4" s="42"/>
      <c r="G4" s="42"/>
      <c r="J4" s="63" t="s">
        <v>19</v>
      </c>
      <c r="K4" s="63"/>
      <c r="L4" s="12"/>
    </row>
    <row r="5" spans="2:12" x14ac:dyDescent="0.25">
      <c r="B5" s="11" t="s">
        <v>25</v>
      </c>
      <c r="C5" s="18"/>
      <c r="D5" s="17">
        <f t="shared" si="0"/>
        <v>-5</v>
      </c>
      <c r="F5" s="42"/>
      <c r="G5" s="42"/>
    </row>
    <row r="6" spans="2:12" x14ac:dyDescent="0.25">
      <c r="B6" s="11" t="s">
        <v>26</v>
      </c>
      <c r="C6" s="18"/>
      <c r="D6" s="17">
        <f t="shared" si="0"/>
        <v>-5</v>
      </c>
    </row>
    <row r="7" spans="2:12" x14ac:dyDescent="0.25">
      <c r="B7" s="11" t="s">
        <v>27</v>
      </c>
      <c r="C7" s="18"/>
      <c r="D7" s="17">
        <f t="shared" si="0"/>
        <v>-5</v>
      </c>
    </row>
    <row r="8" spans="2:12" x14ac:dyDescent="0.25">
      <c r="B8" s="11" t="s">
        <v>28</v>
      </c>
      <c r="C8" s="19"/>
      <c r="D8" s="17">
        <f t="shared" si="0"/>
        <v>-5</v>
      </c>
    </row>
    <row r="10" spans="2:12" x14ac:dyDescent="0.25">
      <c r="B10" s="25" t="s">
        <v>32</v>
      </c>
      <c r="C10" s="22" t="str">
        <f>CONCATENATE("+",SUM(_xlfn.NUMBERVALUE('1_Data_Integrity'!D15),$D$3))</f>
        <v>+6</v>
      </c>
    </row>
    <row r="11" spans="2:12" x14ac:dyDescent="0.25">
      <c r="B11" s="25" t="s">
        <v>33</v>
      </c>
      <c r="C11" s="22" t="str">
        <f>CONCATENATE("+",SUM(_xlfn.NUMBERVALUE('1_Data_Integrity'!D15),$D$4))</f>
        <v>+11</v>
      </c>
    </row>
    <row r="14" spans="2:12" ht="30.75" thickBot="1" x14ac:dyDescent="0.3">
      <c r="B14" s="21" t="s">
        <v>29</v>
      </c>
      <c r="C14" s="23" t="s">
        <v>9</v>
      </c>
    </row>
    <row r="15" spans="2:12" ht="15.75" thickBot="1" x14ac:dyDescent="0.3">
      <c r="B15" s="44" t="s">
        <v>34</v>
      </c>
      <c r="C15" s="24" t="str">
        <f>IF(OR($B15="Ranged",AND(COUNTIF($F$3:$G$5,"*"&amp;"Weapon Finesse"&amp;"*"),$B15="Light")),$C$11,$C$10)</f>
        <v>+11</v>
      </c>
    </row>
  </sheetData>
  <mergeCells count="3">
    <mergeCell ref="J2:L2"/>
    <mergeCell ref="J3:K3"/>
    <mergeCell ref="J4:K4"/>
  </mergeCells>
  <dataValidations count="1">
    <dataValidation type="list" allowBlank="1" showInputMessage="1" showErrorMessage="1" sqref="B15" xr:uid="{1D1BE667-A109-4384-B2BB-C098B55FC092}">
      <formula1>"Ranged,Light,1-Hand,2-Hand"</formula1>
    </dataValidation>
  </dataValidations>
  <pageMargins left="0.7" right="0.7" top="0.75" bottom="0.75" header="0.3" footer="0.3"/>
  <ignoredErrors>
    <ignoredError sqref="D3" calculatedColumn="1"/>
    <ignoredError sqref="C15" unlockedFormula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A9EB-3766-451E-9477-A49E35C71A51}">
  <dimension ref="B2:N94"/>
  <sheetViews>
    <sheetView workbookViewId="0"/>
  </sheetViews>
  <sheetFormatPr defaultRowHeight="15" x14ac:dyDescent="0.25"/>
  <cols>
    <col min="2" max="2" width="13.140625" bestFit="1" customWidth="1"/>
    <col min="3" max="3" width="12.85546875" bestFit="1" customWidth="1"/>
    <col min="4" max="4" width="13.140625" customWidth="1"/>
    <col min="5" max="5" width="12" bestFit="1" customWidth="1"/>
    <col min="6" max="6" width="14" bestFit="1" customWidth="1"/>
    <col min="7" max="7" width="13.42578125" bestFit="1" customWidth="1"/>
    <col min="8" max="8" width="13.140625" customWidth="1"/>
    <col min="9" max="9" width="13.28515625" bestFit="1" customWidth="1"/>
    <col min="11" max="11" width="12.5703125" bestFit="1" customWidth="1"/>
    <col min="12" max="14" width="13.85546875" bestFit="1" customWidth="1"/>
  </cols>
  <sheetData>
    <row r="2" spans="2:14" ht="15.75" thickBot="1" x14ac:dyDescent="0.3">
      <c r="B2" s="1" t="s">
        <v>36</v>
      </c>
      <c r="C2" s="27" t="s">
        <v>37</v>
      </c>
      <c r="D2" s="27"/>
      <c r="E2" s="27"/>
      <c r="F2" s="1" t="s">
        <v>38</v>
      </c>
      <c r="G2" s="1" t="s">
        <v>36</v>
      </c>
      <c r="J2" s="62" t="s">
        <v>17</v>
      </c>
      <c r="K2" s="62"/>
      <c r="L2" s="62"/>
    </row>
    <row r="3" spans="2:14" ht="15.75" thickBot="1" x14ac:dyDescent="0.3">
      <c r="B3" s="32">
        <v>23</v>
      </c>
      <c r="C3" s="31">
        <f>MROUND(_xlfn.XLOOKUP($B$3,$K$15:$K$94,$N$15:$N$94,""),5)</f>
        <v>5750</v>
      </c>
      <c r="D3" s="5"/>
      <c r="F3" s="33">
        <v>5500</v>
      </c>
      <c r="G3" s="16">
        <f>_xlfn.IFNA(IF($F$3&lt;&gt;"",LOOKUP($F$3,$L$15:$M$94,$K$15:$K$94),""),"")</f>
        <v>23</v>
      </c>
      <c r="J3" s="63" t="s">
        <v>18</v>
      </c>
      <c r="K3" s="63"/>
      <c r="L3" s="9"/>
    </row>
    <row r="14" spans="2:14" ht="15.75" x14ac:dyDescent="0.25">
      <c r="B14" s="28" t="s">
        <v>36</v>
      </c>
      <c r="C14" s="28"/>
      <c r="D14" s="28"/>
      <c r="E14" s="28"/>
      <c r="F14" s="28"/>
      <c r="G14" s="28"/>
      <c r="H14" s="28"/>
      <c r="I14" s="28"/>
      <c r="K14" s="29" t="s">
        <v>36</v>
      </c>
      <c r="L14" s="29" t="s">
        <v>99</v>
      </c>
      <c r="M14" s="29" t="s">
        <v>100</v>
      </c>
      <c r="N14" s="26" t="s">
        <v>37</v>
      </c>
    </row>
    <row r="15" spans="2:14" x14ac:dyDescent="0.25">
      <c r="B15" s="8">
        <v>1</v>
      </c>
      <c r="C15" s="11" t="s">
        <v>39</v>
      </c>
      <c r="D15" s="8">
        <v>21</v>
      </c>
      <c r="E15" s="11" t="s">
        <v>120</v>
      </c>
      <c r="F15" s="8">
        <v>41</v>
      </c>
      <c r="G15" s="11" t="s">
        <v>40</v>
      </c>
      <c r="H15" s="8">
        <v>61</v>
      </c>
      <c r="I15" s="11" t="s">
        <v>41</v>
      </c>
      <c r="K15" s="30">
        <v>1</v>
      </c>
      <c r="L15" s="30">
        <v>1</v>
      </c>
      <c r="M15" s="30">
        <v>5</v>
      </c>
      <c r="N15" s="30">
        <f t="shared" ref="N15:N78" si="0">AVERAGE($L15:$M15)</f>
        <v>3</v>
      </c>
    </row>
    <row r="16" spans="2:14" ht="15.75" thickBot="1" x14ac:dyDescent="0.3">
      <c r="B16" s="8">
        <v>2</v>
      </c>
      <c r="C16" s="11" t="s">
        <v>101</v>
      </c>
      <c r="D16" s="36">
        <v>22</v>
      </c>
      <c r="E16" s="37" t="s">
        <v>42</v>
      </c>
      <c r="F16" s="8">
        <v>42</v>
      </c>
      <c r="G16" s="11" t="s">
        <v>43</v>
      </c>
      <c r="H16" s="8">
        <v>62</v>
      </c>
      <c r="I16" s="11" t="s">
        <v>44</v>
      </c>
      <c r="K16" s="30">
        <v>2</v>
      </c>
      <c r="L16" s="30">
        <v>6</v>
      </c>
      <c r="M16" s="30">
        <v>12</v>
      </c>
      <c r="N16" s="30">
        <f t="shared" si="0"/>
        <v>9</v>
      </c>
    </row>
    <row r="17" spans="2:14" ht="15.75" thickBot="1" x14ac:dyDescent="0.3">
      <c r="B17" s="8">
        <v>3</v>
      </c>
      <c r="C17" s="34" t="s">
        <v>102</v>
      </c>
      <c r="D17" s="40">
        <v>23</v>
      </c>
      <c r="E17" s="41" t="s">
        <v>45</v>
      </c>
      <c r="F17" s="35">
        <v>43</v>
      </c>
      <c r="G17" s="11" t="s">
        <v>46</v>
      </c>
      <c r="H17" s="8">
        <v>63</v>
      </c>
      <c r="I17" s="11" t="s">
        <v>47</v>
      </c>
      <c r="K17" s="30">
        <v>3</v>
      </c>
      <c r="L17" s="30">
        <v>13</v>
      </c>
      <c r="M17" s="30">
        <v>20</v>
      </c>
      <c r="N17" s="30">
        <f t="shared" si="0"/>
        <v>16.5</v>
      </c>
    </row>
    <row r="18" spans="2:14" x14ac:dyDescent="0.25">
      <c r="B18" s="8">
        <v>4</v>
      </c>
      <c r="C18" s="11" t="s">
        <v>103</v>
      </c>
      <c r="D18" s="38">
        <v>24</v>
      </c>
      <c r="E18" s="39" t="s">
        <v>48</v>
      </c>
      <c r="F18" s="8">
        <v>44</v>
      </c>
      <c r="G18" s="11" t="s">
        <v>49</v>
      </c>
      <c r="H18" s="8">
        <v>64</v>
      </c>
      <c r="I18" s="11" t="s">
        <v>50</v>
      </c>
      <c r="K18" s="30">
        <v>4</v>
      </c>
      <c r="L18" s="30">
        <v>21</v>
      </c>
      <c r="M18" s="30">
        <v>30</v>
      </c>
      <c r="N18" s="30">
        <f t="shared" si="0"/>
        <v>25.5</v>
      </c>
    </row>
    <row r="19" spans="2:14" x14ac:dyDescent="0.25">
      <c r="B19" s="8">
        <v>5</v>
      </c>
      <c r="C19" s="11" t="s">
        <v>104</v>
      </c>
      <c r="D19" s="8">
        <v>25</v>
      </c>
      <c r="E19" s="11" t="s">
        <v>51</v>
      </c>
      <c r="F19" s="8">
        <v>45</v>
      </c>
      <c r="G19" s="11" t="s">
        <v>52</v>
      </c>
      <c r="H19" s="8">
        <v>65</v>
      </c>
      <c r="I19" s="11" t="s">
        <v>53</v>
      </c>
      <c r="K19" s="30">
        <v>5</v>
      </c>
      <c r="L19" s="30">
        <v>31</v>
      </c>
      <c r="M19" s="30">
        <v>40</v>
      </c>
      <c r="N19" s="30">
        <f t="shared" si="0"/>
        <v>35.5</v>
      </c>
    </row>
    <row r="20" spans="2:14" x14ac:dyDescent="0.25">
      <c r="B20" s="8">
        <v>6</v>
      </c>
      <c r="C20" s="11" t="s">
        <v>105</v>
      </c>
      <c r="D20" s="8">
        <v>26</v>
      </c>
      <c r="E20" s="11" t="s">
        <v>54</v>
      </c>
      <c r="F20" s="8">
        <v>46</v>
      </c>
      <c r="G20" s="11" t="s">
        <v>55</v>
      </c>
      <c r="H20" s="8">
        <v>66</v>
      </c>
      <c r="I20" s="11" t="s">
        <v>56</v>
      </c>
      <c r="K20" s="30">
        <v>6</v>
      </c>
      <c r="L20" s="30">
        <v>41</v>
      </c>
      <c r="M20" s="30">
        <v>55</v>
      </c>
      <c r="N20" s="30">
        <f t="shared" si="0"/>
        <v>48</v>
      </c>
    </row>
    <row r="21" spans="2:14" x14ac:dyDescent="0.25">
      <c r="B21" s="8">
        <v>7</v>
      </c>
      <c r="C21" s="11" t="s">
        <v>106</v>
      </c>
      <c r="D21" s="8">
        <v>27</v>
      </c>
      <c r="E21" s="11" t="s">
        <v>57</v>
      </c>
      <c r="F21" s="8">
        <v>47</v>
      </c>
      <c r="G21" s="11" t="s">
        <v>58</v>
      </c>
      <c r="H21" s="8">
        <v>67</v>
      </c>
      <c r="I21" s="11" t="s">
        <v>59</v>
      </c>
      <c r="K21" s="30">
        <v>7</v>
      </c>
      <c r="L21" s="30">
        <v>56</v>
      </c>
      <c r="M21" s="30">
        <v>70</v>
      </c>
      <c r="N21" s="30">
        <f t="shared" si="0"/>
        <v>63</v>
      </c>
    </row>
    <row r="22" spans="2:14" x14ac:dyDescent="0.25">
      <c r="B22" s="8">
        <v>8</v>
      </c>
      <c r="C22" s="11" t="s">
        <v>107</v>
      </c>
      <c r="D22" s="8">
        <v>28</v>
      </c>
      <c r="E22" s="11" t="s">
        <v>60</v>
      </c>
      <c r="F22" s="8">
        <v>48</v>
      </c>
      <c r="G22" s="11" t="s">
        <v>61</v>
      </c>
      <c r="H22" s="8">
        <v>68</v>
      </c>
      <c r="I22" s="11" t="s">
        <v>62</v>
      </c>
      <c r="K22" s="30">
        <v>8</v>
      </c>
      <c r="L22" s="30">
        <v>71</v>
      </c>
      <c r="M22" s="30">
        <v>90</v>
      </c>
      <c r="N22" s="30">
        <f t="shared" si="0"/>
        <v>80.5</v>
      </c>
    </row>
    <row r="23" spans="2:14" x14ac:dyDescent="0.25">
      <c r="B23" s="8">
        <v>9</v>
      </c>
      <c r="C23" s="11" t="s">
        <v>108</v>
      </c>
      <c r="D23" s="8">
        <v>29</v>
      </c>
      <c r="E23" s="11" t="s">
        <v>63</v>
      </c>
      <c r="F23" s="8">
        <v>49</v>
      </c>
      <c r="G23" s="11" t="s">
        <v>64</v>
      </c>
      <c r="H23" s="8">
        <v>69</v>
      </c>
      <c r="I23" s="11" t="s">
        <v>65</v>
      </c>
      <c r="K23" s="30">
        <v>9</v>
      </c>
      <c r="L23" s="30">
        <v>91</v>
      </c>
      <c r="M23" s="30">
        <f t="shared" ref="M23:M86" si="1">$L24-1</f>
        <v>120</v>
      </c>
      <c r="N23" s="30">
        <f t="shared" si="0"/>
        <v>105.5</v>
      </c>
    </row>
    <row r="24" spans="2:14" x14ac:dyDescent="0.25">
      <c r="B24" s="8">
        <v>10</v>
      </c>
      <c r="C24" s="11" t="s">
        <v>109</v>
      </c>
      <c r="D24" s="8">
        <v>30</v>
      </c>
      <c r="E24" s="11" t="s">
        <v>66</v>
      </c>
      <c r="F24" s="8">
        <v>50</v>
      </c>
      <c r="G24" s="11" t="s">
        <v>67</v>
      </c>
      <c r="H24" s="8">
        <v>70</v>
      </c>
      <c r="I24" s="11" t="s">
        <v>68</v>
      </c>
      <c r="K24" s="30">
        <v>10</v>
      </c>
      <c r="L24" s="30">
        <v>121</v>
      </c>
      <c r="M24" s="30">
        <f t="shared" si="1"/>
        <v>150</v>
      </c>
      <c r="N24" s="30">
        <f t="shared" si="0"/>
        <v>135.5</v>
      </c>
    </row>
    <row r="25" spans="2:14" x14ac:dyDescent="0.25">
      <c r="B25" s="8">
        <v>11</v>
      </c>
      <c r="C25" s="11" t="s">
        <v>110</v>
      </c>
      <c r="D25" s="8">
        <v>31</v>
      </c>
      <c r="E25" s="11" t="s">
        <v>69</v>
      </c>
      <c r="F25" s="8">
        <v>51</v>
      </c>
      <c r="G25" s="11" t="s">
        <v>70</v>
      </c>
      <c r="H25" s="8">
        <v>71</v>
      </c>
      <c r="I25" s="11" t="s">
        <v>71</v>
      </c>
      <c r="K25" s="30">
        <v>11</v>
      </c>
      <c r="L25" s="30">
        <v>151</v>
      </c>
      <c r="M25" s="30">
        <f t="shared" si="1"/>
        <v>200</v>
      </c>
      <c r="N25" s="30">
        <f t="shared" si="0"/>
        <v>175.5</v>
      </c>
    </row>
    <row r="26" spans="2:14" x14ac:dyDescent="0.25">
      <c r="B26" s="8">
        <v>12</v>
      </c>
      <c r="C26" s="11" t="s">
        <v>111</v>
      </c>
      <c r="D26" s="8">
        <v>32</v>
      </c>
      <c r="E26" s="11" t="s">
        <v>72</v>
      </c>
      <c r="F26" s="8">
        <v>52</v>
      </c>
      <c r="G26" s="11" t="s">
        <v>73</v>
      </c>
      <c r="H26" s="8">
        <v>72</v>
      </c>
      <c r="I26" s="11" t="s">
        <v>74</v>
      </c>
      <c r="K26" s="30">
        <v>12</v>
      </c>
      <c r="L26" s="30">
        <v>201</v>
      </c>
      <c r="M26" s="30">
        <f t="shared" si="1"/>
        <v>275</v>
      </c>
      <c r="N26" s="30">
        <f t="shared" si="0"/>
        <v>238</v>
      </c>
    </row>
    <row r="27" spans="2:14" x14ac:dyDescent="0.25">
      <c r="B27" s="8">
        <v>13</v>
      </c>
      <c r="C27" s="11" t="s">
        <v>112</v>
      </c>
      <c r="D27" s="8">
        <v>33</v>
      </c>
      <c r="E27" s="11" t="s">
        <v>75</v>
      </c>
      <c r="F27" s="8">
        <v>53</v>
      </c>
      <c r="G27" s="11" t="s">
        <v>76</v>
      </c>
      <c r="H27" s="8">
        <v>73</v>
      </c>
      <c r="I27" s="11" t="s">
        <v>77</v>
      </c>
      <c r="K27" s="30">
        <v>13</v>
      </c>
      <c r="L27" s="30">
        <v>276</v>
      </c>
      <c r="M27" s="30">
        <f t="shared" si="1"/>
        <v>350</v>
      </c>
      <c r="N27" s="30">
        <f t="shared" si="0"/>
        <v>313</v>
      </c>
    </row>
    <row r="28" spans="2:14" x14ac:dyDescent="0.25">
      <c r="B28" s="8">
        <v>14</v>
      </c>
      <c r="C28" s="11" t="s">
        <v>113</v>
      </c>
      <c r="D28" s="8">
        <v>34</v>
      </c>
      <c r="E28" s="11" t="s">
        <v>78</v>
      </c>
      <c r="F28" s="8">
        <v>54</v>
      </c>
      <c r="G28" s="11" t="s">
        <v>79</v>
      </c>
      <c r="H28" s="8">
        <v>74</v>
      </c>
      <c r="I28" s="11" t="s">
        <v>80</v>
      </c>
      <c r="K28" s="30">
        <v>14</v>
      </c>
      <c r="L28" s="30">
        <v>351</v>
      </c>
      <c r="M28" s="30">
        <f t="shared" si="1"/>
        <v>500</v>
      </c>
      <c r="N28" s="30">
        <f t="shared" si="0"/>
        <v>425.5</v>
      </c>
    </row>
    <row r="29" spans="2:14" x14ac:dyDescent="0.25">
      <c r="B29" s="8">
        <v>15</v>
      </c>
      <c r="C29" s="11" t="s">
        <v>114</v>
      </c>
      <c r="D29" s="8">
        <v>35</v>
      </c>
      <c r="E29" s="11" t="s">
        <v>81</v>
      </c>
      <c r="F29" s="8">
        <v>55</v>
      </c>
      <c r="G29" s="11" t="s">
        <v>82</v>
      </c>
      <c r="H29" s="8">
        <v>75</v>
      </c>
      <c r="I29" s="11" t="s">
        <v>83</v>
      </c>
      <c r="K29" s="30">
        <v>15</v>
      </c>
      <c r="L29" s="30">
        <v>501</v>
      </c>
      <c r="M29" s="30">
        <f t="shared" si="1"/>
        <v>650</v>
      </c>
      <c r="N29" s="30">
        <f t="shared" si="0"/>
        <v>575.5</v>
      </c>
    </row>
    <row r="30" spans="2:14" x14ac:dyDescent="0.25">
      <c r="B30" s="8">
        <v>16</v>
      </c>
      <c r="C30" s="11" t="s">
        <v>115</v>
      </c>
      <c r="D30" s="8">
        <v>36</v>
      </c>
      <c r="E30" s="11" t="s">
        <v>84</v>
      </c>
      <c r="F30" s="8">
        <v>56</v>
      </c>
      <c r="G30" s="11" t="s">
        <v>85</v>
      </c>
      <c r="H30" s="8">
        <v>76</v>
      </c>
      <c r="I30" s="11" t="s">
        <v>86</v>
      </c>
      <c r="K30" s="30">
        <v>16</v>
      </c>
      <c r="L30" s="30">
        <v>651</v>
      </c>
      <c r="M30" s="30">
        <f t="shared" si="1"/>
        <v>900</v>
      </c>
      <c r="N30" s="30">
        <f t="shared" si="0"/>
        <v>775.5</v>
      </c>
    </row>
    <row r="31" spans="2:14" x14ac:dyDescent="0.25">
      <c r="B31" s="8">
        <v>17</v>
      </c>
      <c r="C31" s="11" t="s">
        <v>116</v>
      </c>
      <c r="D31" s="8">
        <v>37</v>
      </c>
      <c r="E31" s="11" t="s">
        <v>87</v>
      </c>
      <c r="F31" s="8">
        <v>57</v>
      </c>
      <c r="G31" s="11" t="s">
        <v>88</v>
      </c>
      <c r="H31" s="8">
        <v>77</v>
      </c>
      <c r="I31" s="11" t="s">
        <v>89</v>
      </c>
      <c r="K31" s="30">
        <v>17</v>
      </c>
      <c r="L31" s="30">
        <v>901</v>
      </c>
      <c r="M31" s="30">
        <f t="shared" si="1"/>
        <v>1200</v>
      </c>
      <c r="N31" s="30">
        <f t="shared" si="0"/>
        <v>1050.5</v>
      </c>
    </row>
    <row r="32" spans="2:14" x14ac:dyDescent="0.25">
      <c r="B32" s="8">
        <v>18</v>
      </c>
      <c r="C32" s="11" t="s">
        <v>117</v>
      </c>
      <c r="D32" s="8">
        <v>38</v>
      </c>
      <c r="E32" s="11" t="s">
        <v>90</v>
      </c>
      <c r="F32" s="8">
        <v>58</v>
      </c>
      <c r="G32" s="11" t="s">
        <v>91</v>
      </c>
      <c r="H32" s="8">
        <v>78</v>
      </c>
      <c r="I32" s="11" t="s">
        <v>92</v>
      </c>
      <c r="K32" s="30">
        <v>18</v>
      </c>
      <c r="L32" s="30">
        <v>1201</v>
      </c>
      <c r="M32" s="30">
        <f t="shared" si="1"/>
        <v>1500</v>
      </c>
      <c r="N32" s="30">
        <f t="shared" si="0"/>
        <v>1350.5</v>
      </c>
    </row>
    <row r="33" spans="2:14" x14ac:dyDescent="0.25">
      <c r="B33" s="8">
        <v>19</v>
      </c>
      <c r="C33" s="11" t="s">
        <v>118</v>
      </c>
      <c r="D33" s="8">
        <v>39</v>
      </c>
      <c r="E33" s="11" t="s">
        <v>93</v>
      </c>
      <c r="F33" s="8">
        <v>59</v>
      </c>
      <c r="G33" s="11" t="s">
        <v>94</v>
      </c>
      <c r="H33" s="8">
        <v>79</v>
      </c>
      <c r="I33" s="11" t="s">
        <v>95</v>
      </c>
      <c r="K33" s="30">
        <v>19</v>
      </c>
      <c r="L33" s="30">
        <v>1501</v>
      </c>
      <c r="M33" s="30">
        <f t="shared" si="1"/>
        <v>2000</v>
      </c>
      <c r="N33" s="30">
        <f t="shared" si="0"/>
        <v>1750.5</v>
      </c>
    </row>
    <row r="34" spans="2:14" x14ac:dyDescent="0.25">
      <c r="B34" s="8">
        <v>20</v>
      </c>
      <c r="C34" s="11" t="s">
        <v>119</v>
      </c>
      <c r="D34" s="8">
        <v>40</v>
      </c>
      <c r="E34" s="11" t="s">
        <v>96</v>
      </c>
      <c r="F34" s="8">
        <v>60</v>
      </c>
      <c r="G34" s="11" t="s">
        <v>97</v>
      </c>
      <c r="H34" s="8">
        <v>80</v>
      </c>
      <c r="I34" s="11" t="s">
        <v>98</v>
      </c>
      <c r="K34" s="30">
        <v>20</v>
      </c>
      <c r="L34" s="30">
        <v>2001</v>
      </c>
      <c r="M34" s="30">
        <f t="shared" si="1"/>
        <v>2750</v>
      </c>
      <c r="N34" s="30">
        <f t="shared" si="0"/>
        <v>2375.5</v>
      </c>
    </row>
    <row r="35" spans="2:14" x14ac:dyDescent="0.25">
      <c r="K35" s="30">
        <v>21</v>
      </c>
      <c r="L35" s="30">
        <v>2751</v>
      </c>
      <c r="M35" s="30">
        <f t="shared" si="1"/>
        <v>3500</v>
      </c>
      <c r="N35" s="30">
        <f t="shared" si="0"/>
        <v>3125.5</v>
      </c>
    </row>
    <row r="36" spans="2:14" x14ac:dyDescent="0.25">
      <c r="K36" s="30">
        <v>22</v>
      </c>
      <c r="L36" s="30">
        <v>3501</v>
      </c>
      <c r="M36" s="30">
        <f t="shared" si="1"/>
        <v>5000</v>
      </c>
      <c r="N36" s="30">
        <f t="shared" si="0"/>
        <v>4250.5</v>
      </c>
    </row>
    <row r="37" spans="2:14" x14ac:dyDescent="0.25">
      <c r="K37" s="30">
        <v>23</v>
      </c>
      <c r="L37" s="30">
        <v>5001</v>
      </c>
      <c r="M37" s="30">
        <f t="shared" si="1"/>
        <v>6500</v>
      </c>
      <c r="N37" s="30">
        <f t="shared" si="0"/>
        <v>5750.5</v>
      </c>
    </row>
    <row r="38" spans="2:14" x14ac:dyDescent="0.25">
      <c r="K38" s="30">
        <v>24</v>
      </c>
      <c r="L38" s="30">
        <v>6501</v>
      </c>
      <c r="M38" s="30">
        <f t="shared" si="1"/>
        <v>9000</v>
      </c>
      <c r="N38" s="30">
        <f t="shared" si="0"/>
        <v>7750.5</v>
      </c>
    </row>
    <row r="39" spans="2:14" x14ac:dyDescent="0.25">
      <c r="K39" s="30">
        <v>25</v>
      </c>
      <c r="L39" s="30">
        <v>9001</v>
      </c>
      <c r="M39" s="30">
        <f t="shared" si="1"/>
        <v>12000</v>
      </c>
      <c r="N39" s="30">
        <f t="shared" si="0"/>
        <v>10500.5</v>
      </c>
    </row>
    <row r="40" spans="2:14" x14ac:dyDescent="0.25">
      <c r="K40" s="30">
        <v>26</v>
      </c>
      <c r="L40" s="30">
        <v>12001</v>
      </c>
      <c r="M40" s="30">
        <f t="shared" si="1"/>
        <v>15000</v>
      </c>
      <c r="N40" s="30">
        <f t="shared" si="0"/>
        <v>13500.5</v>
      </c>
    </row>
    <row r="41" spans="2:14" x14ac:dyDescent="0.25">
      <c r="K41" s="30">
        <v>27</v>
      </c>
      <c r="L41" s="30">
        <v>15001</v>
      </c>
      <c r="M41" s="30">
        <f t="shared" si="1"/>
        <v>20000</v>
      </c>
      <c r="N41" s="30">
        <f t="shared" si="0"/>
        <v>17500.5</v>
      </c>
    </row>
    <row r="42" spans="2:14" x14ac:dyDescent="0.25">
      <c r="K42" s="30">
        <v>28</v>
      </c>
      <c r="L42" s="30">
        <v>20001</v>
      </c>
      <c r="M42" s="30">
        <f t="shared" si="1"/>
        <v>27500</v>
      </c>
      <c r="N42" s="30">
        <f t="shared" si="0"/>
        <v>23750.5</v>
      </c>
    </row>
    <row r="43" spans="2:14" x14ac:dyDescent="0.25">
      <c r="K43" s="30">
        <v>29</v>
      </c>
      <c r="L43" s="30">
        <v>27501</v>
      </c>
      <c r="M43" s="30">
        <f t="shared" si="1"/>
        <v>35000</v>
      </c>
      <c r="N43" s="30">
        <f t="shared" si="0"/>
        <v>31250.5</v>
      </c>
    </row>
    <row r="44" spans="2:14" x14ac:dyDescent="0.25">
      <c r="K44" s="30">
        <v>30</v>
      </c>
      <c r="L44" s="30">
        <v>35001</v>
      </c>
      <c r="M44" s="30">
        <f t="shared" si="1"/>
        <v>50000</v>
      </c>
      <c r="N44" s="30">
        <f t="shared" si="0"/>
        <v>42500.5</v>
      </c>
    </row>
    <row r="45" spans="2:14" x14ac:dyDescent="0.25">
      <c r="K45" s="30">
        <v>31</v>
      </c>
      <c r="L45" s="30">
        <v>50001</v>
      </c>
      <c r="M45" s="30">
        <f t="shared" si="1"/>
        <v>65000</v>
      </c>
      <c r="N45" s="30">
        <f t="shared" si="0"/>
        <v>57500.5</v>
      </c>
    </row>
    <row r="46" spans="2:14" x14ac:dyDescent="0.25">
      <c r="K46" s="30">
        <v>32</v>
      </c>
      <c r="L46" s="30">
        <v>65001</v>
      </c>
      <c r="M46" s="30">
        <f t="shared" si="1"/>
        <v>90000</v>
      </c>
      <c r="N46" s="30">
        <f t="shared" si="0"/>
        <v>77500.5</v>
      </c>
    </row>
    <row r="47" spans="2:14" x14ac:dyDescent="0.25">
      <c r="K47" s="30">
        <v>33</v>
      </c>
      <c r="L47" s="30">
        <v>90001</v>
      </c>
      <c r="M47" s="30">
        <f t="shared" si="1"/>
        <v>120000</v>
      </c>
      <c r="N47" s="30">
        <f t="shared" si="0"/>
        <v>105000.5</v>
      </c>
    </row>
    <row r="48" spans="2:14" x14ac:dyDescent="0.25">
      <c r="K48" s="30">
        <v>34</v>
      </c>
      <c r="L48" s="30">
        <v>120001</v>
      </c>
      <c r="M48" s="30">
        <f t="shared" si="1"/>
        <v>150000</v>
      </c>
      <c r="N48" s="30">
        <f t="shared" si="0"/>
        <v>135000.5</v>
      </c>
    </row>
    <row r="49" spans="11:14" x14ac:dyDescent="0.25">
      <c r="K49" s="30">
        <v>35</v>
      </c>
      <c r="L49" s="30">
        <v>150001</v>
      </c>
      <c r="M49" s="30">
        <f t="shared" si="1"/>
        <v>200000</v>
      </c>
      <c r="N49" s="30">
        <f t="shared" si="0"/>
        <v>175000.5</v>
      </c>
    </row>
    <row r="50" spans="11:14" x14ac:dyDescent="0.25">
      <c r="K50" s="30">
        <v>36</v>
      </c>
      <c r="L50" s="30">
        <v>200001</v>
      </c>
      <c r="M50" s="30">
        <f t="shared" si="1"/>
        <v>275000</v>
      </c>
      <c r="N50" s="30">
        <f t="shared" si="0"/>
        <v>237500.5</v>
      </c>
    </row>
    <row r="51" spans="11:14" x14ac:dyDescent="0.25">
      <c r="K51" s="30">
        <v>37</v>
      </c>
      <c r="L51" s="30">
        <v>275001</v>
      </c>
      <c r="M51" s="30">
        <f t="shared" si="1"/>
        <v>350000</v>
      </c>
      <c r="N51" s="30">
        <f t="shared" si="0"/>
        <v>312500.5</v>
      </c>
    </row>
    <row r="52" spans="11:14" x14ac:dyDescent="0.25">
      <c r="K52" s="30">
        <v>38</v>
      </c>
      <c r="L52" s="30">
        <v>350001</v>
      </c>
      <c r="M52" s="30">
        <f t="shared" si="1"/>
        <v>500000</v>
      </c>
      <c r="N52" s="30">
        <f t="shared" si="0"/>
        <v>425000.5</v>
      </c>
    </row>
    <row r="53" spans="11:14" x14ac:dyDescent="0.25">
      <c r="K53" s="30">
        <v>39</v>
      </c>
      <c r="L53" s="30">
        <v>500001</v>
      </c>
      <c r="M53" s="30">
        <f t="shared" si="1"/>
        <v>650000</v>
      </c>
      <c r="N53" s="30">
        <f t="shared" si="0"/>
        <v>575000.5</v>
      </c>
    </row>
    <row r="54" spans="11:14" x14ac:dyDescent="0.25">
      <c r="K54" s="30">
        <v>40</v>
      </c>
      <c r="L54" s="30">
        <v>650001</v>
      </c>
      <c r="M54" s="30">
        <f t="shared" si="1"/>
        <v>900000</v>
      </c>
      <c r="N54" s="30">
        <f t="shared" si="0"/>
        <v>775000.5</v>
      </c>
    </row>
    <row r="55" spans="11:14" x14ac:dyDescent="0.25">
      <c r="K55" s="30">
        <v>41</v>
      </c>
      <c r="L55" s="30">
        <v>900001</v>
      </c>
      <c r="M55" s="30">
        <f t="shared" si="1"/>
        <v>1200000</v>
      </c>
      <c r="N55" s="30">
        <f t="shared" si="0"/>
        <v>1050000.5</v>
      </c>
    </row>
    <row r="56" spans="11:14" x14ac:dyDescent="0.25">
      <c r="K56" s="30">
        <v>42</v>
      </c>
      <c r="L56" s="30">
        <v>1200001</v>
      </c>
      <c r="M56" s="30">
        <f t="shared" si="1"/>
        <v>1500000</v>
      </c>
      <c r="N56" s="30">
        <f t="shared" si="0"/>
        <v>1350000.5</v>
      </c>
    </row>
    <row r="57" spans="11:14" x14ac:dyDescent="0.25">
      <c r="K57" s="30">
        <v>43</v>
      </c>
      <c r="L57" s="30">
        <v>1500001</v>
      </c>
      <c r="M57" s="30">
        <f t="shared" si="1"/>
        <v>2000000</v>
      </c>
      <c r="N57" s="30">
        <f t="shared" si="0"/>
        <v>1750000.5</v>
      </c>
    </row>
    <row r="58" spans="11:14" x14ac:dyDescent="0.25">
      <c r="K58" s="30">
        <v>44</v>
      </c>
      <c r="L58" s="30">
        <v>2000001</v>
      </c>
      <c r="M58" s="30">
        <f t="shared" si="1"/>
        <v>2750000</v>
      </c>
      <c r="N58" s="30">
        <f t="shared" si="0"/>
        <v>2375000.5</v>
      </c>
    </row>
    <row r="59" spans="11:14" x14ac:dyDescent="0.25">
      <c r="K59" s="30">
        <v>45</v>
      </c>
      <c r="L59" s="30">
        <v>2750001</v>
      </c>
      <c r="M59" s="30">
        <f t="shared" si="1"/>
        <v>3500000</v>
      </c>
      <c r="N59" s="30">
        <f t="shared" si="0"/>
        <v>3125000.5</v>
      </c>
    </row>
    <row r="60" spans="11:14" x14ac:dyDescent="0.25">
      <c r="K60" s="30">
        <v>46</v>
      </c>
      <c r="L60" s="30">
        <v>3500001</v>
      </c>
      <c r="M60" s="30">
        <f t="shared" si="1"/>
        <v>5000000</v>
      </c>
      <c r="N60" s="30">
        <f t="shared" si="0"/>
        <v>4250000.5</v>
      </c>
    </row>
    <row r="61" spans="11:14" x14ac:dyDescent="0.25">
      <c r="K61" s="30">
        <v>47</v>
      </c>
      <c r="L61" s="30">
        <v>5000001</v>
      </c>
      <c r="M61" s="30">
        <f t="shared" si="1"/>
        <v>6500000</v>
      </c>
      <c r="N61" s="30">
        <f t="shared" si="0"/>
        <v>5750000.5</v>
      </c>
    </row>
    <row r="62" spans="11:14" x14ac:dyDescent="0.25">
      <c r="K62" s="30">
        <v>48</v>
      </c>
      <c r="L62" s="30">
        <v>6500001</v>
      </c>
      <c r="M62" s="30">
        <f t="shared" si="1"/>
        <v>9000000</v>
      </c>
      <c r="N62" s="30">
        <f t="shared" si="0"/>
        <v>7750000.5</v>
      </c>
    </row>
    <row r="63" spans="11:14" x14ac:dyDescent="0.25">
      <c r="K63" s="30">
        <v>49</v>
      </c>
      <c r="L63" s="30">
        <v>9000001</v>
      </c>
      <c r="M63" s="30">
        <f t="shared" si="1"/>
        <v>12000000</v>
      </c>
      <c r="N63" s="30">
        <f t="shared" si="0"/>
        <v>10500000.5</v>
      </c>
    </row>
    <row r="64" spans="11:14" x14ac:dyDescent="0.25">
      <c r="K64" s="30">
        <v>50</v>
      </c>
      <c r="L64" s="30">
        <v>12000001</v>
      </c>
      <c r="M64" s="30">
        <f t="shared" si="1"/>
        <v>15000000</v>
      </c>
      <c r="N64" s="30">
        <f t="shared" si="0"/>
        <v>13500000.5</v>
      </c>
    </row>
    <row r="65" spans="11:14" x14ac:dyDescent="0.25">
      <c r="K65" s="30">
        <v>51</v>
      </c>
      <c r="L65" s="30">
        <v>15000001</v>
      </c>
      <c r="M65" s="30">
        <f t="shared" si="1"/>
        <v>20000000</v>
      </c>
      <c r="N65" s="30">
        <f t="shared" si="0"/>
        <v>17500000.5</v>
      </c>
    </row>
    <row r="66" spans="11:14" x14ac:dyDescent="0.25">
      <c r="K66" s="30">
        <v>52</v>
      </c>
      <c r="L66" s="30">
        <v>20000001</v>
      </c>
      <c r="M66" s="30">
        <f t="shared" si="1"/>
        <v>27500000</v>
      </c>
      <c r="N66" s="30">
        <f t="shared" si="0"/>
        <v>23750000.5</v>
      </c>
    </row>
    <row r="67" spans="11:14" x14ac:dyDescent="0.25">
      <c r="K67" s="30">
        <v>53</v>
      </c>
      <c r="L67" s="30">
        <v>27500001</v>
      </c>
      <c r="M67" s="30">
        <f t="shared" si="1"/>
        <v>35000000</v>
      </c>
      <c r="N67" s="30">
        <f t="shared" si="0"/>
        <v>31250000.5</v>
      </c>
    </row>
    <row r="68" spans="11:14" x14ac:dyDescent="0.25">
      <c r="K68" s="30">
        <v>54</v>
      </c>
      <c r="L68" s="30">
        <v>35000001</v>
      </c>
      <c r="M68" s="30">
        <f t="shared" si="1"/>
        <v>50000000</v>
      </c>
      <c r="N68" s="30">
        <f t="shared" si="0"/>
        <v>42500000.5</v>
      </c>
    </row>
    <row r="69" spans="11:14" x14ac:dyDescent="0.25">
      <c r="K69" s="30">
        <v>55</v>
      </c>
      <c r="L69" s="30">
        <v>50000001</v>
      </c>
      <c r="M69" s="30">
        <f t="shared" si="1"/>
        <v>65000000</v>
      </c>
      <c r="N69" s="30">
        <f t="shared" si="0"/>
        <v>57500000.5</v>
      </c>
    </row>
    <row r="70" spans="11:14" x14ac:dyDescent="0.25">
      <c r="K70" s="30">
        <v>56</v>
      </c>
      <c r="L70" s="30">
        <v>65000001</v>
      </c>
      <c r="M70" s="30">
        <f t="shared" si="1"/>
        <v>90000000</v>
      </c>
      <c r="N70" s="30">
        <f t="shared" si="0"/>
        <v>77500000.5</v>
      </c>
    </row>
    <row r="71" spans="11:14" x14ac:dyDescent="0.25">
      <c r="K71" s="30">
        <v>57</v>
      </c>
      <c r="L71" s="30">
        <v>90000001</v>
      </c>
      <c r="M71" s="30">
        <f t="shared" si="1"/>
        <v>120000000</v>
      </c>
      <c r="N71" s="30">
        <f t="shared" si="0"/>
        <v>105000000.5</v>
      </c>
    </row>
    <row r="72" spans="11:14" x14ac:dyDescent="0.25">
      <c r="K72" s="30">
        <v>58</v>
      </c>
      <c r="L72" s="30">
        <v>120000001</v>
      </c>
      <c r="M72" s="30">
        <f t="shared" si="1"/>
        <v>150000000</v>
      </c>
      <c r="N72" s="30">
        <f t="shared" si="0"/>
        <v>135000000.5</v>
      </c>
    </row>
    <row r="73" spans="11:14" x14ac:dyDescent="0.25">
      <c r="K73" s="30">
        <v>59</v>
      </c>
      <c r="L73" s="30">
        <v>150000001</v>
      </c>
      <c r="M73" s="30">
        <f t="shared" si="1"/>
        <v>200000000</v>
      </c>
      <c r="N73" s="30">
        <f t="shared" si="0"/>
        <v>175000000.5</v>
      </c>
    </row>
    <row r="74" spans="11:14" x14ac:dyDescent="0.25">
      <c r="K74" s="30">
        <v>60</v>
      </c>
      <c r="L74" s="30">
        <v>200000001</v>
      </c>
      <c r="M74" s="30">
        <f t="shared" si="1"/>
        <v>275000000</v>
      </c>
      <c r="N74" s="30">
        <f t="shared" si="0"/>
        <v>237500000.5</v>
      </c>
    </row>
    <row r="75" spans="11:14" x14ac:dyDescent="0.25">
      <c r="K75" s="30">
        <v>61</v>
      </c>
      <c r="L75" s="30">
        <v>275000001</v>
      </c>
      <c r="M75" s="30">
        <f t="shared" si="1"/>
        <v>350000000</v>
      </c>
      <c r="N75" s="30">
        <f t="shared" si="0"/>
        <v>312500000.5</v>
      </c>
    </row>
    <row r="76" spans="11:14" x14ac:dyDescent="0.25">
      <c r="K76" s="30">
        <v>62</v>
      </c>
      <c r="L76" s="30">
        <v>350000001</v>
      </c>
      <c r="M76" s="30">
        <f t="shared" si="1"/>
        <v>500000000</v>
      </c>
      <c r="N76" s="30">
        <f t="shared" si="0"/>
        <v>425000000.5</v>
      </c>
    </row>
    <row r="77" spans="11:14" x14ac:dyDescent="0.25">
      <c r="K77" s="30">
        <v>63</v>
      </c>
      <c r="L77" s="30">
        <v>500000001</v>
      </c>
      <c r="M77" s="30">
        <f t="shared" si="1"/>
        <v>650000000</v>
      </c>
      <c r="N77" s="30">
        <f t="shared" si="0"/>
        <v>575000000.5</v>
      </c>
    </row>
    <row r="78" spans="11:14" x14ac:dyDescent="0.25">
      <c r="K78" s="30">
        <v>64</v>
      </c>
      <c r="L78" s="30">
        <v>650000001</v>
      </c>
      <c r="M78" s="30">
        <f t="shared" si="1"/>
        <v>900000000</v>
      </c>
      <c r="N78" s="30">
        <f t="shared" si="0"/>
        <v>775000000.5</v>
      </c>
    </row>
    <row r="79" spans="11:14" x14ac:dyDescent="0.25">
      <c r="K79" s="30">
        <v>65</v>
      </c>
      <c r="L79" s="30">
        <v>900000001</v>
      </c>
      <c r="M79" s="30">
        <f t="shared" si="1"/>
        <v>1200000000</v>
      </c>
      <c r="N79" s="30">
        <f t="shared" ref="N79:N94" si="2">AVERAGE($L79:$M79)</f>
        <v>1050000000.5</v>
      </c>
    </row>
    <row r="80" spans="11:14" x14ac:dyDescent="0.25">
      <c r="K80" s="30">
        <v>66</v>
      </c>
      <c r="L80" s="30">
        <v>1200000001</v>
      </c>
      <c r="M80" s="30">
        <f t="shared" si="1"/>
        <v>1500000000</v>
      </c>
      <c r="N80" s="30">
        <f t="shared" si="2"/>
        <v>1350000000.5</v>
      </c>
    </row>
    <row r="81" spans="11:14" x14ac:dyDescent="0.25">
      <c r="K81" s="30">
        <v>67</v>
      </c>
      <c r="L81" s="30">
        <v>1500000001</v>
      </c>
      <c r="M81" s="30">
        <f t="shared" si="1"/>
        <v>2000000000</v>
      </c>
      <c r="N81" s="30">
        <f t="shared" si="2"/>
        <v>1750000000.5</v>
      </c>
    </row>
    <row r="82" spans="11:14" x14ac:dyDescent="0.25">
      <c r="K82" s="30">
        <v>68</v>
      </c>
      <c r="L82" s="30">
        <v>2000000001</v>
      </c>
      <c r="M82" s="30">
        <f t="shared" si="1"/>
        <v>2750000000</v>
      </c>
      <c r="N82" s="30">
        <f t="shared" si="2"/>
        <v>2375000000.5</v>
      </c>
    </row>
    <row r="83" spans="11:14" x14ac:dyDescent="0.25">
      <c r="K83" s="30">
        <v>69</v>
      </c>
      <c r="L83" s="30">
        <v>2750000001</v>
      </c>
      <c r="M83" s="30">
        <f t="shared" si="1"/>
        <v>3500000000</v>
      </c>
      <c r="N83" s="30">
        <f t="shared" si="2"/>
        <v>3125000000.5</v>
      </c>
    </row>
    <row r="84" spans="11:14" x14ac:dyDescent="0.25">
      <c r="K84" s="30">
        <v>70</v>
      </c>
      <c r="L84" s="30">
        <v>3500000001</v>
      </c>
      <c r="M84" s="30">
        <f t="shared" si="1"/>
        <v>5000000000</v>
      </c>
      <c r="N84" s="30">
        <f t="shared" si="2"/>
        <v>4250000000.5</v>
      </c>
    </row>
    <row r="85" spans="11:14" x14ac:dyDescent="0.25">
      <c r="K85" s="30">
        <v>71</v>
      </c>
      <c r="L85" s="30">
        <v>5000000001</v>
      </c>
      <c r="M85" s="30">
        <f t="shared" si="1"/>
        <v>6500000000</v>
      </c>
      <c r="N85" s="30">
        <f t="shared" si="2"/>
        <v>5750000000.5</v>
      </c>
    </row>
    <row r="86" spans="11:14" x14ac:dyDescent="0.25">
      <c r="K86" s="30">
        <v>72</v>
      </c>
      <c r="L86" s="30">
        <v>6500000001</v>
      </c>
      <c r="M86" s="30">
        <f t="shared" si="1"/>
        <v>9000000000</v>
      </c>
      <c r="N86" s="30">
        <f t="shared" si="2"/>
        <v>7750000000.5</v>
      </c>
    </row>
    <row r="87" spans="11:14" x14ac:dyDescent="0.25">
      <c r="K87" s="30">
        <v>73</v>
      </c>
      <c r="L87" s="30">
        <v>9000000001</v>
      </c>
      <c r="M87" s="30">
        <f t="shared" ref="M87:M93" si="3">$L88-1</f>
        <v>12000000000</v>
      </c>
      <c r="N87" s="30">
        <f t="shared" si="2"/>
        <v>10500000000.5</v>
      </c>
    </row>
    <row r="88" spans="11:14" x14ac:dyDescent="0.25">
      <c r="K88" s="30">
        <v>74</v>
      </c>
      <c r="L88" s="30">
        <v>12000000001</v>
      </c>
      <c r="M88" s="30">
        <f t="shared" si="3"/>
        <v>15000000000</v>
      </c>
      <c r="N88" s="30">
        <f t="shared" si="2"/>
        <v>13500000000.5</v>
      </c>
    </row>
    <row r="89" spans="11:14" x14ac:dyDescent="0.25">
      <c r="K89" s="30">
        <v>75</v>
      </c>
      <c r="L89" s="30">
        <v>15000000001</v>
      </c>
      <c r="M89" s="30">
        <f t="shared" si="3"/>
        <v>20000000000</v>
      </c>
      <c r="N89" s="30">
        <f t="shared" si="2"/>
        <v>17500000000.5</v>
      </c>
    </row>
    <row r="90" spans="11:14" x14ac:dyDescent="0.25">
      <c r="K90" s="30">
        <v>76</v>
      </c>
      <c r="L90" s="30">
        <v>20000000001</v>
      </c>
      <c r="M90" s="30">
        <f t="shared" si="3"/>
        <v>27500000000</v>
      </c>
      <c r="N90" s="30">
        <f t="shared" si="2"/>
        <v>23750000000.5</v>
      </c>
    </row>
    <row r="91" spans="11:14" x14ac:dyDescent="0.25">
      <c r="K91" s="30">
        <v>77</v>
      </c>
      <c r="L91" s="30">
        <v>27500000001</v>
      </c>
      <c r="M91" s="30">
        <f t="shared" si="3"/>
        <v>35000000000</v>
      </c>
      <c r="N91" s="30">
        <f t="shared" si="2"/>
        <v>31250000000.5</v>
      </c>
    </row>
    <row r="92" spans="11:14" x14ac:dyDescent="0.25">
      <c r="K92" s="30">
        <v>78</v>
      </c>
      <c r="L92" s="30">
        <v>35000000001</v>
      </c>
      <c r="M92" s="30">
        <f t="shared" si="3"/>
        <v>50000000000</v>
      </c>
      <c r="N92" s="30">
        <f t="shared" si="2"/>
        <v>42500000000.5</v>
      </c>
    </row>
    <row r="93" spans="11:14" x14ac:dyDescent="0.25">
      <c r="K93" s="30">
        <v>79</v>
      </c>
      <c r="L93" s="30">
        <v>50000000001</v>
      </c>
      <c r="M93" s="30">
        <f t="shared" si="3"/>
        <v>65000000000</v>
      </c>
      <c r="N93" s="30">
        <f t="shared" si="2"/>
        <v>57500000000.5</v>
      </c>
    </row>
    <row r="94" spans="11:14" x14ac:dyDescent="0.25">
      <c r="K94" s="30">
        <v>80</v>
      </c>
      <c r="L94" s="30">
        <v>65000000001</v>
      </c>
      <c r="M94" s="30">
        <v>90000000000</v>
      </c>
      <c r="N94" s="30">
        <f t="shared" si="2"/>
        <v>77500000000.5</v>
      </c>
    </row>
  </sheetData>
  <mergeCells count="2">
    <mergeCell ref="J2:L2"/>
    <mergeCell ref="J3:K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206B-93BE-44E7-BBB3-37E6D05E5783}">
  <dimension ref="A2:AM36"/>
  <sheetViews>
    <sheetView workbookViewId="0"/>
  </sheetViews>
  <sheetFormatPr defaultRowHeight="15" x14ac:dyDescent="0.25"/>
  <cols>
    <col min="1" max="1" width="14.42578125" bestFit="1" customWidth="1"/>
    <col min="2" max="2" width="11.5703125" bestFit="1" customWidth="1"/>
    <col min="3" max="3" width="7.85546875" bestFit="1" customWidth="1"/>
    <col min="4" max="4" width="19.140625" bestFit="1" customWidth="1"/>
    <col min="5" max="5" width="11.5703125" bestFit="1" customWidth="1"/>
    <col min="6" max="6" width="7.85546875" bestFit="1" customWidth="1"/>
    <col min="7" max="7" width="19.140625" bestFit="1" customWidth="1"/>
    <col min="8" max="8" width="85.140625" bestFit="1" customWidth="1"/>
    <col min="9" max="9" width="4.5703125" bestFit="1" customWidth="1"/>
    <col min="10" max="12" width="5.140625" bestFit="1" customWidth="1"/>
    <col min="14" max="15" width="11.5703125" bestFit="1" customWidth="1"/>
    <col min="18" max="18" width="11.28515625" customWidth="1"/>
    <col min="19" max="19" width="10.7109375" customWidth="1"/>
    <col min="20" max="20" width="11.42578125" customWidth="1"/>
    <col min="21" max="21" width="53.42578125" bestFit="1" customWidth="1"/>
    <col min="23" max="24" width="19.140625" bestFit="1" customWidth="1"/>
    <col min="25" max="25" width="7.85546875" customWidth="1"/>
    <col min="26" max="26" width="53.42578125" bestFit="1" customWidth="1"/>
    <col min="29" max="29" width="5.7109375" bestFit="1" customWidth="1"/>
    <col min="30" max="30" width="45.42578125" bestFit="1" customWidth="1"/>
    <col min="31" max="31" width="37.28515625" bestFit="1" customWidth="1"/>
    <col min="32" max="33" width="7" bestFit="1" customWidth="1"/>
    <col min="34" max="34" width="6.42578125" bestFit="1" customWidth="1"/>
    <col min="35" max="35" width="7.140625" bestFit="1" customWidth="1"/>
    <col min="36" max="37" width="7" bestFit="1" customWidth="1"/>
    <col min="38" max="38" width="6.42578125" bestFit="1" customWidth="1"/>
    <col min="39" max="39" width="7.140625" bestFit="1" customWidth="1"/>
  </cols>
  <sheetData>
    <row r="2" spans="1:39" x14ac:dyDescent="0.25">
      <c r="D2" s="64" t="s">
        <v>17</v>
      </c>
      <c r="E2" s="65"/>
    </row>
    <row r="3" spans="1:39" x14ac:dyDescent="0.25">
      <c r="D3" s="11" t="s">
        <v>18</v>
      </c>
      <c r="E3" s="9"/>
    </row>
    <row r="4" spans="1:39" x14ac:dyDescent="0.25">
      <c r="D4" s="11" t="s">
        <v>19</v>
      </c>
      <c r="E4" s="12"/>
    </row>
    <row r="6" spans="1:39" ht="30.75" thickBot="1" x14ac:dyDescent="0.3">
      <c r="A6" s="47" t="s">
        <v>15</v>
      </c>
      <c r="B6" s="47" t="s">
        <v>121</v>
      </c>
      <c r="C6" s="47" t="s">
        <v>122</v>
      </c>
      <c r="D6" s="56" t="s">
        <v>123</v>
      </c>
      <c r="E6" s="47" t="s">
        <v>124</v>
      </c>
      <c r="F6" s="47" t="s">
        <v>125</v>
      </c>
      <c r="G6" s="47" t="s">
        <v>126</v>
      </c>
      <c r="H6" s="23" t="s">
        <v>127</v>
      </c>
      <c r="I6" s="20" t="s">
        <v>132</v>
      </c>
      <c r="J6" s="20" t="s">
        <v>133</v>
      </c>
      <c r="K6" s="20" t="s">
        <v>134</v>
      </c>
      <c r="L6" s="20" t="s">
        <v>128</v>
      </c>
      <c r="O6" s="53" t="s">
        <v>8</v>
      </c>
      <c r="P6" s="52" t="s">
        <v>6</v>
      </c>
      <c r="Q6" s="52" t="s">
        <v>132</v>
      </c>
      <c r="R6" s="52" t="s">
        <v>133</v>
      </c>
      <c r="S6" s="52" t="s">
        <v>134</v>
      </c>
      <c r="T6" s="52" t="s">
        <v>128</v>
      </c>
      <c r="U6" s="52" t="s">
        <v>135</v>
      </c>
      <c r="X6" t="s">
        <v>162</v>
      </c>
      <c r="Y6" t="s">
        <v>6</v>
      </c>
      <c r="Z6" t="s">
        <v>163</v>
      </c>
      <c r="AC6" s="27" t="s">
        <v>6</v>
      </c>
      <c r="AD6" s="1" t="s">
        <v>184</v>
      </c>
      <c r="AE6" s="1" t="s">
        <v>185</v>
      </c>
      <c r="AF6" s="27" t="s">
        <v>186</v>
      </c>
      <c r="AG6" s="27" t="s">
        <v>187</v>
      </c>
      <c r="AH6" s="27" t="s">
        <v>188</v>
      </c>
      <c r="AI6" s="27" t="s">
        <v>189</v>
      </c>
      <c r="AJ6" s="27" t="s">
        <v>190</v>
      </c>
      <c r="AK6" s="27" t="s">
        <v>191</v>
      </c>
      <c r="AL6" s="27" t="s">
        <v>192</v>
      </c>
      <c r="AM6" s="27" t="s">
        <v>193</v>
      </c>
    </row>
    <row r="7" spans="1:39" ht="15.75" thickBot="1" x14ac:dyDescent="0.3">
      <c r="A7" s="8">
        <v>1</v>
      </c>
      <c r="B7" s="51" t="s">
        <v>139</v>
      </c>
      <c r="C7" s="55">
        <v>1</v>
      </c>
      <c r="D7" s="58" t="s">
        <v>171</v>
      </c>
      <c r="E7" s="51" t="s">
        <v>151</v>
      </c>
      <c r="F7" s="54">
        <v>1</v>
      </c>
      <c r="G7" s="59"/>
      <c r="H7" s="58" t="str">
        <f>_xlfn.IFNA(IF(AND($B7&lt;&gt;"",$E7&lt;&gt;""),_xlfn.CONCAT($AD7," || ",$AE7),$AD7),"")</f>
        <v>Alchemy, Natural Philosopher's Inspiration, Track || 1st Favored Enemy, Track, Wild Empathy</v>
      </c>
      <c r="I7" s="60">
        <f>_xlfn.IFNA(IF($H7&lt;&gt;"",MAX($AF7,$AJ7),""),"")</f>
        <v>1</v>
      </c>
      <c r="J7" s="13">
        <f>_xlfn.IFNA(IF($H7&lt;&gt;"",MAX($AG7,$AK7),""),"")</f>
        <v>2</v>
      </c>
      <c r="K7" s="13">
        <f>_xlfn.IFNA(IF($H7&lt;&gt;"",MAX($AH7,$AL7),""),"")</f>
        <v>2</v>
      </c>
      <c r="L7" s="13">
        <f>_xlfn.IFNA(IF($H7&lt;&gt;"",MAX($AI7,$AM7),""),"")</f>
        <v>2</v>
      </c>
      <c r="N7" t="s">
        <v>129</v>
      </c>
      <c r="O7" t="s">
        <v>129</v>
      </c>
      <c r="P7">
        <v>1</v>
      </c>
      <c r="Q7">
        <v>1</v>
      </c>
      <c r="R7">
        <v>2</v>
      </c>
      <c r="S7">
        <v>0</v>
      </c>
      <c r="T7">
        <v>0</v>
      </c>
      <c r="U7" t="s">
        <v>130</v>
      </c>
      <c r="W7" t="s">
        <v>164</v>
      </c>
      <c r="X7" t="s">
        <v>164</v>
      </c>
      <c r="Y7">
        <v>1</v>
      </c>
      <c r="Z7" t="s">
        <v>140</v>
      </c>
      <c r="AC7" s="5">
        <v>1</v>
      </c>
      <c r="AD7" s="58" t="str" cm="1">
        <f t="array" ref="AD7">IF(AND($B7="Investigator",$D7&lt;&gt;""),_xlfn.XLOOKUP($D7&amp;"/"&amp;$C7,$X$7:$X$36&amp;"/"&amp;$Y$7:$Y$36,$Z$7:$Z$36,""),_xlfn.XLOOKUP($B7&amp;"/"&amp;$C7,$O$7:$O$31&amp;"/"&amp;$P$7:$P$31,$U$7:$U$31,""))</f>
        <v>Alchemy, Natural Philosopher's Inspiration, Track</v>
      </c>
      <c r="AE7" t="str" cm="1">
        <f t="array" ref="AE7">IF(AND($E7="Investigator",$G7&lt;&gt;""),_xlfn.XLOOKUP($G7&amp;"/"&amp;$F7,$X$7:$X$36&amp;"/"&amp;$Y$7:$Y$36,$Z$7:$Z$36,""),_xlfn.XLOOKUP($E7&amp;"/"&amp;$F7,$O$7:$O$31&amp;"/"&amp;$P$7:$P$31,$U$7:$U$31,""))</f>
        <v>1st Favored Enemy, Track, Wild Empathy</v>
      </c>
      <c r="AF7" cm="1">
        <f t="array" ref="AF7">_xlfn.XLOOKUP($B7&amp;"/"&amp;$C7,$O$7:$O$31&amp;"/"&amp;$P$7:$P$31,$Q$7:$Q$31,"")</f>
        <v>0</v>
      </c>
      <c r="AG7" cm="1">
        <f t="array" ref="AG7">_xlfn.XLOOKUP($B7&amp;"/"&amp;$C7,$O$7:$O$31&amp;"/"&amp;$P$7:$P$31,$R$7:$R$31,"")</f>
        <v>0</v>
      </c>
      <c r="AH7" cm="1">
        <f t="array" ref="AH7">_xlfn.XLOOKUP($B7&amp;"/"&amp;$C7,$O$7:$O$31&amp;"/"&amp;$P$7:$P$31,$S$7:$S$31,"")</f>
        <v>2</v>
      </c>
      <c r="AI7" cm="1">
        <f t="array" ref="AI7">_xlfn.XLOOKUP($B7&amp;"/"&amp;$C7,$O$7:$O$31&amp;"/"&amp;$P$7:$P$31,$T$7:$T$31,"")</f>
        <v>2</v>
      </c>
      <c r="AJ7" cm="1">
        <f t="array" ref="AJ7">_xlfn.XLOOKUP($E7&amp;"/"&amp;$F7,$O$7:$O$31&amp;"/"&amp;$P$7:$P$31,$Q$7:$Q$31,"")</f>
        <v>1</v>
      </c>
      <c r="AK7" cm="1">
        <f t="array" ref="AK7">_xlfn.XLOOKUP($E7&amp;"/"&amp;$F7,$O$7:$O$31&amp;"/"&amp;$P$7:$P$31,$R$7:$R$31,"")</f>
        <v>2</v>
      </c>
      <c r="AL7" cm="1">
        <f t="array" ref="AL7">_xlfn.XLOOKUP($E7&amp;"/"&amp;$F7,$O$7:$O$31&amp;"/"&amp;$P$7:$P$31,$S$7:$S$31,"")</f>
        <v>2</v>
      </c>
      <c r="AM7" cm="1">
        <f t="array" ref="AM7">_xlfn.XLOOKUP($E7&amp;"/"&amp;$F7,$O$7:$O$31&amp;"/"&amp;$P$7:$P$31,$T$7:$T$31,"")</f>
        <v>0</v>
      </c>
    </row>
    <row r="8" spans="1:39" x14ac:dyDescent="0.25">
      <c r="A8" s="8">
        <v>2</v>
      </c>
      <c r="B8" s="51"/>
      <c r="C8" s="54"/>
      <c r="D8" s="57"/>
      <c r="E8" s="51"/>
      <c r="F8" s="54"/>
      <c r="G8" s="9"/>
      <c r="H8" s="61" t="str">
        <f t="shared" ref="H8:H11" si="0">_xlfn.IFNA(IF(AND($B8&lt;&gt;"",$E8&lt;&gt;""),_xlfn.CONCAT($AD8," || ",$AE8),$AD8),"")</f>
        <v/>
      </c>
      <c r="I8" s="13" t="str">
        <f t="shared" ref="I8:I11" si="1">_xlfn.IFNA(IF($H8&lt;&gt;"",MAX($AF8,$AJ8),""),"")</f>
        <v/>
      </c>
      <c r="J8" s="13" t="str">
        <f t="shared" ref="J8:J11" si="2">_xlfn.IFNA(IF($H8&lt;&gt;"",MAX($AG8,$AK8),""),"")</f>
        <v/>
      </c>
      <c r="K8" s="13" t="str">
        <f t="shared" ref="K8:K11" si="3">_xlfn.IFNA(IF($H8&lt;&gt;"",MAX($AH8,$AL8),""),"")</f>
        <v/>
      </c>
      <c r="L8" s="13" t="str">
        <f t="shared" ref="L8:L11" si="4">_xlfn.IFNA(IF($H8&lt;&gt;"",MAX($AI8,$AM8),""),"")</f>
        <v/>
      </c>
      <c r="N8" t="s">
        <v>139</v>
      </c>
      <c r="O8" t="s">
        <v>129</v>
      </c>
      <c r="P8">
        <v>2</v>
      </c>
      <c r="Q8">
        <v>2</v>
      </c>
      <c r="R8">
        <v>3</v>
      </c>
      <c r="S8">
        <v>0</v>
      </c>
      <c r="T8">
        <v>0</v>
      </c>
      <c r="U8" t="s">
        <v>136</v>
      </c>
      <c r="W8" t="s">
        <v>168</v>
      </c>
      <c r="X8" t="s">
        <v>164</v>
      </c>
      <c r="Y8">
        <v>2</v>
      </c>
      <c r="Z8" t="s">
        <v>165</v>
      </c>
      <c r="AC8" s="5">
        <v>2</v>
      </c>
      <c r="AD8" t="str" cm="1">
        <f t="array" ref="AD8">IF(AND($B8="Investigator",$D8&lt;&gt;""),_xlfn.XLOOKUP($D8&amp;"/"&amp;$C8,$X$7:$X$36&amp;"/"&amp;$Y$7:$Y$36,$Z$7:$Z$36,""),_xlfn.XLOOKUP($B8&amp;"/"&amp;$C8,$O$7:$O$31&amp;"/"&amp;$P$7:$P$31,$U$7:$U$31,""))</f>
        <v/>
      </c>
      <c r="AE8" t="str" cm="1">
        <f t="array" ref="AE8">IF(AND($E8="Investigator",$G8&lt;&gt;""),_xlfn.XLOOKUP($G8&amp;"/"&amp;$F8,$X$7:$X$36&amp;"/"&amp;$Y$7:$Y$36,$Z$7:$Z$36,""),_xlfn.XLOOKUP($E8&amp;"/"&amp;$F8,$O$7:$O$31&amp;"/"&amp;$P$7:$P$31,$U$7:$U$31,""))</f>
        <v/>
      </c>
      <c r="AF8" t="str" cm="1">
        <f t="array" ref="AF8">_xlfn.XLOOKUP($B8&amp;"/"&amp;$C8,$O$7:$O$31&amp;"/"&amp;$P$7:$P$31,$Q$7:$Q$31,"")</f>
        <v/>
      </c>
      <c r="AG8" t="str" cm="1">
        <f t="array" ref="AG8">_xlfn.XLOOKUP($B8&amp;"/"&amp;$C8,$O$7:$O$31&amp;"/"&amp;$P$7:$P$31,$R$7:$R$31,"")</f>
        <v/>
      </c>
      <c r="AH8" t="str" cm="1">
        <f t="array" ref="AH8">_xlfn.XLOOKUP($B8&amp;"/"&amp;$C8,$O$7:$O$31&amp;"/"&amp;$P$7:$P$31,$S$7:$S$31,"")</f>
        <v/>
      </c>
      <c r="AI8" t="str" cm="1">
        <f t="array" ref="AI8">_xlfn.XLOOKUP($B8&amp;"/"&amp;$C8,$O$7:$O$31&amp;"/"&amp;$P$7:$P$31,$T$7:$T$31,"")</f>
        <v/>
      </c>
      <c r="AJ8" t="str" cm="1">
        <f t="array" ref="AJ8">_xlfn.XLOOKUP($E8&amp;"/"&amp;$F8,$O$7:$O$31&amp;"/"&amp;$P$7:$P$31,$Q$7:$Q$31,"")</f>
        <v/>
      </c>
      <c r="AK8" t="str" cm="1">
        <f t="array" ref="AK8">_xlfn.XLOOKUP($E8&amp;"/"&amp;$F8,$O$7:$O$31&amp;"/"&amp;$P$7:$P$31,$R$7:$R$31,"")</f>
        <v/>
      </c>
      <c r="AL8" t="str" cm="1">
        <f t="array" ref="AL8">_xlfn.XLOOKUP($E8&amp;"/"&amp;$F8,$O$7:$O$31&amp;"/"&amp;$P$7:$P$31,$S$7:$S$31,"")</f>
        <v/>
      </c>
      <c r="AM8" t="str" cm="1">
        <f t="array" ref="AM8">_xlfn.XLOOKUP($E8&amp;"/"&amp;$F8,$O$7:$O$31&amp;"/"&amp;$P$7:$P$31,$T$7:$T$31,"")</f>
        <v/>
      </c>
    </row>
    <row r="9" spans="1:39" x14ac:dyDescent="0.25">
      <c r="A9" s="8">
        <v>3</v>
      </c>
      <c r="B9" s="51"/>
      <c r="C9" s="54"/>
      <c r="D9" s="9"/>
      <c r="E9" s="51"/>
      <c r="F9" s="54"/>
      <c r="G9" s="9"/>
      <c r="H9" s="12" t="str">
        <f t="shared" si="0"/>
        <v/>
      </c>
      <c r="I9" s="13" t="str">
        <f t="shared" si="1"/>
        <v/>
      </c>
      <c r="J9" s="13" t="str">
        <f t="shared" si="2"/>
        <v/>
      </c>
      <c r="K9" s="13" t="str">
        <f t="shared" si="3"/>
        <v/>
      </c>
      <c r="L9" s="13" t="str">
        <f t="shared" si="4"/>
        <v/>
      </c>
      <c r="N9" t="s">
        <v>145</v>
      </c>
      <c r="O9" t="s">
        <v>129</v>
      </c>
      <c r="P9">
        <v>3</v>
      </c>
      <c r="Q9">
        <v>3</v>
      </c>
      <c r="R9">
        <v>3</v>
      </c>
      <c r="S9">
        <v>1</v>
      </c>
      <c r="T9">
        <v>1</v>
      </c>
      <c r="U9" t="s">
        <v>137</v>
      </c>
      <c r="W9" t="s">
        <v>171</v>
      </c>
      <c r="X9" t="s">
        <v>164</v>
      </c>
      <c r="Y9">
        <v>3</v>
      </c>
      <c r="Z9" t="s">
        <v>142</v>
      </c>
      <c r="AC9" s="5">
        <v>3</v>
      </c>
      <c r="AD9" t="str" cm="1">
        <f t="array" ref="AD9">IF(AND($B9="Investigator",$D9&lt;&gt;""),_xlfn.XLOOKUP($D9&amp;"/"&amp;$C9,$X$7:$X$36&amp;"/"&amp;$Y$7:$Y$36,$Z$7:$Z$36,""),_xlfn.XLOOKUP($B9&amp;"/"&amp;$C9,$O$7:$O$31&amp;"/"&amp;$P$7:$P$31,$U$7:$U$31,""))</f>
        <v/>
      </c>
      <c r="AE9" t="str" cm="1">
        <f t="array" ref="AE9">IF(AND($E9="Investigator",$G9&lt;&gt;""),_xlfn.XLOOKUP($G9&amp;"/"&amp;$F9,$X$7:$X$36&amp;"/"&amp;$Y$7:$Y$36,$Z$7:$Z$36,""),_xlfn.XLOOKUP($E9&amp;"/"&amp;$F9,$O$7:$O$31&amp;"/"&amp;$P$7:$P$31,$U$7:$U$31,""))</f>
        <v/>
      </c>
      <c r="AF9" t="str" cm="1">
        <f t="array" ref="AF9">_xlfn.XLOOKUP($B9&amp;"/"&amp;$C9,$O$7:$O$31&amp;"/"&amp;$P$7:$P$31,$Q$7:$Q$31,"")</f>
        <v/>
      </c>
      <c r="AG9" t="str" cm="1">
        <f t="array" ref="AG9">_xlfn.XLOOKUP($B9&amp;"/"&amp;$C9,$O$7:$O$31&amp;"/"&amp;$P$7:$P$31,$R$7:$R$31,"")</f>
        <v/>
      </c>
      <c r="AH9" t="str" cm="1">
        <f t="array" ref="AH9">_xlfn.XLOOKUP($B9&amp;"/"&amp;$C9,$O$7:$O$31&amp;"/"&amp;$P$7:$P$31,$S$7:$S$31,"")</f>
        <v/>
      </c>
      <c r="AI9" t="str" cm="1">
        <f t="array" ref="AI9">_xlfn.XLOOKUP($B9&amp;"/"&amp;$C9,$O$7:$O$31&amp;"/"&amp;$P$7:$P$31,$T$7:$T$31,"")</f>
        <v/>
      </c>
      <c r="AJ9" t="str" cm="1">
        <f t="array" ref="AJ9">_xlfn.XLOOKUP($E9&amp;"/"&amp;$F9,$O$7:$O$31&amp;"/"&amp;$P$7:$P$31,$Q$7:$Q$31,"")</f>
        <v/>
      </c>
      <c r="AK9" t="str" cm="1">
        <f t="array" ref="AK9">_xlfn.XLOOKUP($E9&amp;"/"&amp;$F9,$O$7:$O$31&amp;"/"&amp;$P$7:$P$31,$R$7:$R$31,"")</f>
        <v/>
      </c>
      <c r="AL9" t="str" cm="1">
        <f t="array" ref="AL9">_xlfn.XLOOKUP($E9&amp;"/"&amp;$F9,$O$7:$O$31&amp;"/"&amp;$P$7:$P$31,$S$7:$S$31,"")</f>
        <v/>
      </c>
      <c r="AM9" t="str" cm="1">
        <f t="array" ref="AM9">_xlfn.XLOOKUP($E9&amp;"/"&amp;$F9,$O$7:$O$31&amp;"/"&amp;$P$7:$P$31,$T$7:$T$31,"")</f>
        <v/>
      </c>
    </row>
    <row r="10" spans="1:39" x14ac:dyDescent="0.25">
      <c r="A10" s="8">
        <v>4</v>
      </c>
      <c r="B10" s="51"/>
      <c r="C10" s="54"/>
      <c r="D10" s="9"/>
      <c r="E10" s="51"/>
      <c r="F10" s="54"/>
      <c r="G10" s="9"/>
      <c r="H10" s="12" t="str">
        <f t="shared" si="0"/>
        <v/>
      </c>
      <c r="I10" s="13" t="str">
        <f t="shared" si="1"/>
        <v/>
      </c>
      <c r="J10" s="13" t="str">
        <f t="shared" si="2"/>
        <v/>
      </c>
      <c r="K10" s="13" t="str">
        <f t="shared" si="3"/>
        <v/>
      </c>
      <c r="L10" s="13" t="str">
        <f t="shared" si="4"/>
        <v/>
      </c>
      <c r="N10" t="s">
        <v>151</v>
      </c>
      <c r="O10" t="s">
        <v>129</v>
      </c>
      <c r="P10">
        <v>4</v>
      </c>
      <c r="Q10">
        <v>4</v>
      </c>
      <c r="R10">
        <v>4</v>
      </c>
      <c r="S10">
        <v>1</v>
      </c>
      <c r="T10">
        <v>1</v>
      </c>
      <c r="U10" t="s">
        <v>131</v>
      </c>
      <c r="W10" t="s">
        <v>174</v>
      </c>
      <c r="X10" t="s">
        <v>164</v>
      </c>
      <c r="Y10">
        <v>4</v>
      </c>
      <c r="Z10" t="s">
        <v>166</v>
      </c>
      <c r="AC10" s="5">
        <v>4</v>
      </c>
      <c r="AD10" t="str" cm="1">
        <f t="array" ref="AD10">IF(AND($B10="Investigator",$D10&lt;&gt;""),_xlfn.XLOOKUP($D10&amp;"/"&amp;$C10,$X$7:$X$36&amp;"/"&amp;$Y$7:$Y$36,$Z$7:$Z$36,""),_xlfn.XLOOKUP($B10&amp;"/"&amp;$C10,$O$7:$O$31&amp;"/"&amp;$P$7:$P$31,$U$7:$U$31,""))</f>
        <v/>
      </c>
      <c r="AE10" t="str" cm="1">
        <f t="array" ref="AE10">IF(AND($E10="Investigator",$G10&lt;&gt;""),_xlfn.XLOOKUP($G10&amp;"/"&amp;$F10,$X$7:$X$36&amp;"/"&amp;$Y$7:$Y$36,$Z$7:$Z$36,""),_xlfn.XLOOKUP($E10&amp;"/"&amp;$F10,$O$7:$O$31&amp;"/"&amp;$P$7:$P$31,$U$7:$U$31,""))</f>
        <v/>
      </c>
      <c r="AF10" t="str" cm="1">
        <f t="array" ref="AF10">_xlfn.XLOOKUP($B10&amp;"/"&amp;$C10,$O$7:$O$31&amp;"/"&amp;$P$7:$P$31,$Q$7:$Q$31,"")</f>
        <v/>
      </c>
      <c r="AG10" t="str" cm="1">
        <f t="array" ref="AG10">_xlfn.XLOOKUP($B10&amp;"/"&amp;$C10,$O$7:$O$31&amp;"/"&amp;$P$7:$P$31,$R$7:$R$31,"")</f>
        <v/>
      </c>
      <c r="AH10" t="str" cm="1">
        <f t="array" ref="AH10">_xlfn.XLOOKUP($B10&amp;"/"&amp;$C10,$O$7:$O$31&amp;"/"&amp;$P$7:$P$31,$S$7:$S$31,"")</f>
        <v/>
      </c>
      <c r="AI10" t="str" cm="1">
        <f t="array" ref="AI10">_xlfn.XLOOKUP($B10&amp;"/"&amp;$C10,$O$7:$O$31&amp;"/"&amp;$P$7:$P$31,$T$7:$T$31,"")</f>
        <v/>
      </c>
      <c r="AJ10" t="str" cm="1">
        <f t="array" ref="AJ10">_xlfn.XLOOKUP($E10&amp;"/"&amp;$F10,$O$7:$O$31&amp;"/"&amp;$P$7:$P$31,$Q$7:$Q$31,"")</f>
        <v/>
      </c>
      <c r="AK10" t="str" cm="1">
        <f t="array" ref="AK10">_xlfn.XLOOKUP($E10&amp;"/"&amp;$F10,$O$7:$O$31&amp;"/"&amp;$P$7:$P$31,$R$7:$R$31,"")</f>
        <v/>
      </c>
      <c r="AL10" t="str" cm="1">
        <f t="array" ref="AL10">_xlfn.XLOOKUP($E10&amp;"/"&amp;$F10,$O$7:$O$31&amp;"/"&amp;$P$7:$P$31,$S$7:$S$31,"")</f>
        <v/>
      </c>
      <c r="AM10" t="str" cm="1">
        <f t="array" ref="AM10">_xlfn.XLOOKUP($E10&amp;"/"&amp;$F10,$O$7:$O$31&amp;"/"&amp;$P$7:$P$31,$T$7:$T$31,"")</f>
        <v/>
      </c>
    </row>
    <row r="11" spans="1:39" x14ac:dyDescent="0.25">
      <c r="A11" s="8">
        <v>5</v>
      </c>
      <c r="B11" s="51"/>
      <c r="C11" s="54"/>
      <c r="D11" s="9"/>
      <c r="E11" s="51"/>
      <c r="F11" s="54"/>
      <c r="G11" s="9"/>
      <c r="H11" s="12" t="str">
        <f t="shared" si="0"/>
        <v/>
      </c>
      <c r="I11" s="13" t="str">
        <f t="shared" si="1"/>
        <v/>
      </c>
      <c r="J11" s="13" t="str">
        <f t="shared" si="2"/>
        <v/>
      </c>
      <c r="K11" s="13" t="str">
        <f t="shared" si="3"/>
        <v/>
      </c>
      <c r="L11" s="13" t="str">
        <f t="shared" si="4"/>
        <v/>
      </c>
      <c r="N11" t="s">
        <v>12</v>
      </c>
      <c r="O11" t="s">
        <v>129</v>
      </c>
      <c r="P11">
        <v>5</v>
      </c>
      <c r="Q11">
        <v>5</v>
      </c>
      <c r="R11">
        <v>4</v>
      </c>
      <c r="S11">
        <v>1</v>
      </c>
      <c r="T11">
        <v>1</v>
      </c>
      <c r="U11" t="s">
        <v>138</v>
      </c>
      <c r="W11" t="s">
        <v>180</v>
      </c>
      <c r="X11" t="s">
        <v>164</v>
      </c>
      <c r="Y11">
        <v>5</v>
      </c>
      <c r="Z11" t="s">
        <v>167</v>
      </c>
      <c r="AC11" s="5">
        <v>5</v>
      </c>
      <c r="AD11" t="str" cm="1">
        <f t="array" ref="AD11">IF(AND($B11="Investigator",$D11&lt;&gt;""),_xlfn.XLOOKUP($D11&amp;"/"&amp;$C11,$X$7:$X$36&amp;"/"&amp;$Y$7:$Y$36,$Z$7:$Z$36,""),_xlfn.XLOOKUP($B11&amp;"/"&amp;$C11,$O$7:$O$31&amp;"/"&amp;$P$7:$P$31,$U$7:$U$31,""))</f>
        <v/>
      </c>
      <c r="AE11" t="str" cm="1">
        <f t="array" ref="AE11">IF(AND($E11="Investigator",$G11&lt;&gt;""),_xlfn.XLOOKUP($G11&amp;"/"&amp;$F11,$X$7:$X$36&amp;"/"&amp;$Y$7:$Y$36,$Z$7:$Z$36,""),_xlfn.XLOOKUP($E11&amp;"/"&amp;$F11,$O$7:$O$31&amp;"/"&amp;$P$7:$P$31,$U$7:$U$31,""))</f>
        <v/>
      </c>
      <c r="AF11" t="str" cm="1">
        <f t="array" ref="AF11">_xlfn.XLOOKUP($B11&amp;"/"&amp;$C11,$O$7:$O$31&amp;"/"&amp;$P$7:$P$31,$Q$7:$Q$31,"")</f>
        <v/>
      </c>
      <c r="AG11" t="str" cm="1">
        <f t="array" ref="AG11">_xlfn.XLOOKUP($B11&amp;"/"&amp;$C11,$O$7:$O$31&amp;"/"&amp;$P$7:$P$31,$R$7:$R$31,"")</f>
        <v/>
      </c>
      <c r="AH11" t="str" cm="1">
        <f t="array" ref="AH11">_xlfn.XLOOKUP($B11&amp;"/"&amp;$C11,$O$7:$O$31&amp;"/"&amp;$P$7:$P$31,$S$7:$S$31,"")</f>
        <v/>
      </c>
      <c r="AI11" t="str" cm="1">
        <f t="array" ref="AI11">_xlfn.XLOOKUP($B11&amp;"/"&amp;$C11,$O$7:$O$31&amp;"/"&amp;$P$7:$P$31,$T$7:$T$31,"")</f>
        <v/>
      </c>
      <c r="AJ11" t="str" cm="1">
        <f t="array" ref="AJ11">_xlfn.XLOOKUP($E11&amp;"/"&amp;$F11,$O$7:$O$31&amp;"/"&amp;$P$7:$P$31,$Q$7:$Q$31,"")</f>
        <v/>
      </c>
      <c r="AK11" t="str" cm="1">
        <f t="array" ref="AK11">_xlfn.XLOOKUP($E11&amp;"/"&amp;$F11,$O$7:$O$31&amp;"/"&amp;$P$7:$P$31,$R$7:$R$31,"")</f>
        <v/>
      </c>
      <c r="AL11" t="str" cm="1">
        <f t="array" ref="AL11">_xlfn.XLOOKUP($E11&amp;"/"&amp;$F11,$O$7:$O$31&amp;"/"&amp;$P$7:$P$31,$S$7:$S$31,"")</f>
        <v/>
      </c>
      <c r="AM11" t="str" cm="1">
        <f t="array" ref="AM11">_xlfn.XLOOKUP($E11&amp;"/"&amp;$F11,$O$7:$O$31&amp;"/"&amp;$P$7:$P$31,$T$7:$T$31,"")</f>
        <v/>
      </c>
    </row>
    <row r="12" spans="1:39" x14ac:dyDescent="0.25">
      <c r="O12" t="s">
        <v>139</v>
      </c>
      <c r="P12">
        <v>1</v>
      </c>
      <c r="Q12">
        <v>0</v>
      </c>
      <c r="R12">
        <v>0</v>
      </c>
      <c r="S12">
        <v>2</v>
      </c>
      <c r="T12">
        <v>2</v>
      </c>
      <c r="U12" t="s">
        <v>140</v>
      </c>
      <c r="W12" t="s">
        <v>181</v>
      </c>
      <c r="X12" t="s">
        <v>168</v>
      </c>
      <c r="Y12">
        <v>1</v>
      </c>
      <c r="Z12" t="s">
        <v>140</v>
      </c>
    </row>
    <row r="13" spans="1:39" x14ac:dyDescent="0.25">
      <c r="O13" t="s">
        <v>139</v>
      </c>
      <c r="P13">
        <v>2</v>
      </c>
      <c r="Q13">
        <v>1</v>
      </c>
      <c r="R13">
        <v>0</v>
      </c>
      <c r="S13">
        <v>3</v>
      </c>
      <c r="T13">
        <v>3</v>
      </c>
      <c r="U13" t="s">
        <v>141</v>
      </c>
      <c r="X13" t="s">
        <v>168</v>
      </c>
      <c r="Y13">
        <v>2</v>
      </c>
      <c r="Z13" t="s">
        <v>169</v>
      </c>
    </row>
    <row r="14" spans="1:39" x14ac:dyDescent="0.25">
      <c r="O14" t="s">
        <v>139</v>
      </c>
      <c r="P14">
        <v>3</v>
      </c>
      <c r="Q14">
        <v>2</v>
      </c>
      <c r="R14">
        <v>1</v>
      </c>
      <c r="S14">
        <v>3</v>
      </c>
      <c r="T14">
        <v>3</v>
      </c>
      <c r="U14" t="s">
        <v>142</v>
      </c>
      <c r="X14" t="s">
        <v>168</v>
      </c>
      <c r="Y14">
        <v>3</v>
      </c>
      <c r="Z14" t="s">
        <v>142</v>
      </c>
    </row>
    <row r="15" spans="1:39" x14ac:dyDescent="0.25">
      <c r="O15" t="s">
        <v>139</v>
      </c>
      <c r="P15">
        <v>4</v>
      </c>
      <c r="Q15">
        <v>3</v>
      </c>
      <c r="R15">
        <v>1</v>
      </c>
      <c r="S15">
        <v>4</v>
      </c>
      <c r="T15">
        <v>4</v>
      </c>
      <c r="U15" t="s">
        <v>143</v>
      </c>
      <c r="X15" t="s">
        <v>168</v>
      </c>
      <c r="Y15">
        <v>4</v>
      </c>
      <c r="Z15" t="s">
        <v>170</v>
      </c>
    </row>
    <row r="16" spans="1:39" x14ac:dyDescent="0.25">
      <c r="O16" t="s">
        <v>139</v>
      </c>
      <c r="P16">
        <v>5</v>
      </c>
      <c r="Q16">
        <v>3</v>
      </c>
      <c r="R16">
        <v>1</v>
      </c>
      <c r="S16">
        <v>4</v>
      </c>
      <c r="T16">
        <v>4</v>
      </c>
      <c r="U16" t="s">
        <v>144</v>
      </c>
      <c r="X16" t="s">
        <v>168</v>
      </c>
      <c r="Y16">
        <v>5</v>
      </c>
      <c r="Z16" t="s">
        <v>167</v>
      </c>
    </row>
    <row r="17" spans="15:26" x14ac:dyDescent="0.25">
      <c r="O17" t="s">
        <v>145</v>
      </c>
      <c r="P17">
        <v>1</v>
      </c>
      <c r="Q17">
        <v>1</v>
      </c>
      <c r="R17">
        <v>2</v>
      </c>
      <c r="S17">
        <v>2</v>
      </c>
      <c r="T17">
        <v>0</v>
      </c>
      <c r="U17" t="s">
        <v>146</v>
      </c>
      <c r="X17" t="s">
        <v>171</v>
      </c>
      <c r="Y17">
        <v>1</v>
      </c>
      <c r="Z17" t="s">
        <v>172</v>
      </c>
    </row>
    <row r="18" spans="15:26" x14ac:dyDescent="0.25">
      <c r="O18" t="s">
        <v>145</v>
      </c>
      <c r="P18">
        <v>2</v>
      </c>
      <c r="Q18">
        <v>2</v>
      </c>
      <c r="R18">
        <v>3</v>
      </c>
      <c r="S18">
        <v>3</v>
      </c>
      <c r="T18">
        <v>0</v>
      </c>
      <c r="U18" t="s">
        <v>147</v>
      </c>
      <c r="X18" t="s">
        <v>171</v>
      </c>
      <c r="Y18">
        <v>2</v>
      </c>
      <c r="Z18" t="s">
        <v>141</v>
      </c>
    </row>
    <row r="19" spans="15:26" x14ac:dyDescent="0.25">
      <c r="O19" t="s">
        <v>145</v>
      </c>
      <c r="P19">
        <v>3</v>
      </c>
      <c r="Q19">
        <v>3</v>
      </c>
      <c r="R19">
        <v>3</v>
      </c>
      <c r="S19">
        <v>3</v>
      </c>
      <c r="T19">
        <v>1</v>
      </c>
      <c r="U19" t="s">
        <v>148</v>
      </c>
      <c r="X19" t="s">
        <v>171</v>
      </c>
      <c r="Y19">
        <v>3</v>
      </c>
      <c r="Z19" t="s">
        <v>173</v>
      </c>
    </row>
    <row r="20" spans="15:26" x14ac:dyDescent="0.25">
      <c r="O20" t="s">
        <v>145</v>
      </c>
      <c r="P20">
        <v>4</v>
      </c>
      <c r="Q20">
        <v>4</v>
      </c>
      <c r="R20">
        <v>4</v>
      </c>
      <c r="S20">
        <v>4</v>
      </c>
      <c r="T20">
        <v>1</v>
      </c>
      <c r="U20" t="s">
        <v>149</v>
      </c>
      <c r="X20" t="s">
        <v>171</v>
      </c>
      <c r="Y20">
        <v>4</v>
      </c>
      <c r="Z20" t="s">
        <v>143</v>
      </c>
    </row>
    <row r="21" spans="15:26" x14ac:dyDescent="0.25">
      <c r="O21" t="s">
        <v>145</v>
      </c>
      <c r="P21">
        <v>5</v>
      </c>
      <c r="Q21">
        <v>5</v>
      </c>
      <c r="R21">
        <v>4</v>
      </c>
      <c r="S21">
        <v>4</v>
      </c>
      <c r="T21">
        <v>1</v>
      </c>
      <c r="U21" t="s">
        <v>150</v>
      </c>
      <c r="X21" t="s">
        <v>171</v>
      </c>
      <c r="Y21">
        <v>5</v>
      </c>
      <c r="Z21" t="s">
        <v>144</v>
      </c>
    </row>
    <row r="22" spans="15:26" x14ac:dyDescent="0.25">
      <c r="O22" t="s">
        <v>151</v>
      </c>
      <c r="P22">
        <v>1</v>
      </c>
      <c r="Q22">
        <v>1</v>
      </c>
      <c r="R22">
        <v>2</v>
      </c>
      <c r="S22">
        <v>2</v>
      </c>
      <c r="T22">
        <v>0</v>
      </c>
      <c r="U22" t="s">
        <v>152</v>
      </c>
      <c r="X22" t="s">
        <v>174</v>
      </c>
      <c r="Y22">
        <v>1</v>
      </c>
      <c r="Z22" t="s">
        <v>175</v>
      </c>
    </row>
    <row r="23" spans="15:26" x14ac:dyDescent="0.25">
      <c r="O23" t="s">
        <v>151</v>
      </c>
      <c r="P23">
        <v>2</v>
      </c>
      <c r="Q23">
        <v>2</v>
      </c>
      <c r="R23">
        <v>3</v>
      </c>
      <c r="S23">
        <v>3</v>
      </c>
      <c r="T23">
        <v>0</v>
      </c>
      <c r="U23" t="s">
        <v>153</v>
      </c>
      <c r="X23" t="s">
        <v>174</v>
      </c>
      <c r="Y23">
        <v>2</v>
      </c>
      <c r="Z23" t="s">
        <v>176</v>
      </c>
    </row>
    <row r="24" spans="15:26" x14ac:dyDescent="0.25">
      <c r="O24" t="s">
        <v>151</v>
      </c>
      <c r="P24">
        <v>3</v>
      </c>
      <c r="Q24">
        <v>3</v>
      </c>
      <c r="R24">
        <v>3</v>
      </c>
      <c r="S24">
        <v>3</v>
      </c>
      <c r="T24">
        <v>1</v>
      </c>
      <c r="U24" t="s">
        <v>154</v>
      </c>
      <c r="X24" t="s">
        <v>174</v>
      </c>
      <c r="Y24">
        <v>3</v>
      </c>
      <c r="Z24" t="s">
        <v>177</v>
      </c>
    </row>
    <row r="25" spans="15:26" x14ac:dyDescent="0.25">
      <c r="O25" t="s">
        <v>151</v>
      </c>
      <c r="P25">
        <v>4</v>
      </c>
      <c r="Q25">
        <v>4</v>
      </c>
      <c r="R25">
        <v>4</v>
      </c>
      <c r="S25">
        <v>4</v>
      </c>
      <c r="T25">
        <v>1</v>
      </c>
      <c r="U25" t="s">
        <v>155</v>
      </c>
      <c r="X25" t="s">
        <v>174</v>
      </c>
      <c r="Y25">
        <v>4</v>
      </c>
      <c r="Z25" t="s">
        <v>178</v>
      </c>
    </row>
    <row r="26" spans="15:26" x14ac:dyDescent="0.25">
      <c r="O26" t="s">
        <v>151</v>
      </c>
      <c r="P26">
        <v>5</v>
      </c>
      <c r="Q26">
        <v>5</v>
      </c>
      <c r="R26">
        <v>4</v>
      </c>
      <c r="S26">
        <v>4</v>
      </c>
      <c r="T26">
        <v>1</v>
      </c>
      <c r="U26" t="s">
        <v>156</v>
      </c>
      <c r="X26" t="s">
        <v>174</v>
      </c>
      <c r="Y26">
        <v>5</v>
      </c>
      <c r="Z26" t="s">
        <v>179</v>
      </c>
    </row>
    <row r="27" spans="15:26" x14ac:dyDescent="0.25">
      <c r="O27" t="s">
        <v>12</v>
      </c>
      <c r="P27">
        <v>1</v>
      </c>
      <c r="Q27">
        <v>0</v>
      </c>
      <c r="R27">
        <v>0</v>
      </c>
      <c r="S27">
        <v>2</v>
      </c>
      <c r="T27">
        <v>0</v>
      </c>
      <c r="U27" t="s">
        <v>157</v>
      </c>
      <c r="X27" t="s">
        <v>180</v>
      </c>
      <c r="Y27">
        <v>1</v>
      </c>
      <c r="Z27" t="s">
        <v>140</v>
      </c>
    </row>
    <row r="28" spans="15:26" x14ac:dyDescent="0.25">
      <c r="O28" t="s">
        <v>12</v>
      </c>
      <c r="P28">
        <v>2</v>
      </c>
      <c r="Q28">
        <v>1</v>
      </c>
      <c r="R28">
        <v>0</v>
      </c>
      <c r="S28">
        <v>3</v>
      </c>
      <c r="T28">
        <v>0</v>
      </c>
      <c r="U28" t="s">
        <v>158</v>
      </c>
      <c r="X28" t="s">
        <v>180</v>
      </c>
      <c r="Y28">
        <v>2</v>
      </c>
      <c r="Z28" t="s">
        <v>141</v>
      </c>
    </row>
    <row r="29" spans="15:26" x14ac:dyDescent="0.25">
      <c r="O29" t="s">
        <v>12</v>
      </c>
      <c r="P29">
        <v>3</v>
      </c>
      <c r="Q29">
        <v>2</v>
      </c>
      <c r="R29">
        <v>1</v>
      </c>
      <c r="S29">
        <v>3</v>
      </c>
      <c r="T29">
        <v>1</v>
      </c>
      <c r="U29" t="s">
        <v>159</v>
      </c>
      <c r="X29" t="s">
        <v>180</v>
      </c>
      <c r="Y29">
        <v>3</v>
      </c>
      <c r="Z29" t="s">
        <v>142</v>
      </c>
    </row>
    <row r="30" spans="15:26" x14ac:dyDescent="0.25">
      <c r="O30" t="s">
        <v>12</v>
      </c>
      <c r="P30">
        <v>4</v>
      </c>
      <c r="Q30">
        <v>3</v>
      </c>
      <c r="R30">
        <v>1</v>
      </c>
      <c r="S30">
        <v>4</v>
      </c>
      <c r="T30">
        <v>1</v>
      </c>
      <c r="U30" t="s">
        <v>160</v>
      </c>
      <c r="X30" t="s">
        <v>180</v>
      </c>
      <c r="Y30">
        <v>4</v>
      </c>
      <c r="Z30" t="s">
        <v>143</v>
      </c>
    </row>
    <row r="31" spans="15:26" x14ac:dyDescent="0.25">
      <c r="O31" t="s">
        <v>12</v>
      </c>
      <c r="P31">
        <v>5</v>
      </c>
      <c r="Q31">
        <v>3</v>
      </c>
      <c r="R31">
        <v>1</v>
      </c>
      <c r="S31">
        <v>4</v>
      </c>
      <c r="T31">
        <v>1</v>
      </c>
      <c r="U31" t="s">
        <v>161</v>
      </c>
      <c r="X31" t="s">
        <v>180</v>
      </c>
      <c r="Y31">
        <v>5</v>
      </c>
      <c r="Z31" t="s">
        <v>144</v>
      </c>
    </row>
    <row r="32" spans="15:26" x14ac:dyDescent="0.25">
      <c r="X32" t="s">
        <v>181</v>
      </c>
      <c r="Y32">
        <v>1</v>
      </c>
      <c r="Z32" t="s">
        <v>140</v>
      </c>
    </row>
    <row r="33" spans="24:26" x14ac:dyDescent="0.25">
      <c r="X33" t="s">
        <v>181</v>
      </c>
      <c r="Y33">
        <v>2</v>
      </c>
      <c r="Z33" t="s">
        <v>182</v>
      </c>
    </row>
    <row r="34" spans="24:26" x14ac:dyDescent="0.25">
      <c r="X34" t="s">
        <v>181</v>
      </c>
      <c r="Y34">
        <v>3</v>
      </c>
      <c r="Z34" t="s">
        <v>142</v>
      </c>
    </row>
    <row r="35" spans="24:26" x14ac:dyDescent="0.25">
      <c r="X35" t="s">
        <v>181</v>
      </c>
      <c r="Y35">
        <v>4</v>
      </c>
      <c r="Z35" t="s">
        <v>183</v>
      </c>
    </row>
    <row r="36" spans="24:26" x14ac:dyDescent="0.25">
      <c r="X36" t="s">
        <v>181</v>
      </c>
      <c r="Y36">
        <v>5</v>
      </c>
      <c r="Z36" t="s">
        <v>144</v>
      </c>
    </row>
  </sheetData>
  <mergeCells count="1">
    <mergeCell ref="D2:E2"/>
  </mergeCells>
  <dataValidations count="8">
    <dataValidation type="list" allowBlank="1" showInputMessage="1" showErrorMessage="1" sqref="C7 F7" xr:uid="{5BC26B4A-4AA2-43EC-834F-A0490387B928}">
      <formula1>"1"</formula1>
    </dataValidation>
    <dataValidation type="list" allowBlank="1" showInputMessage="1" showErrorMessage="1" sqref="C8 F8" xr:uid="{E3E7A084-3751-403D-9162-77AA2A65353A}">
      <formula1>"1,2"</formula1>
    </dataValidation>
    <dataValidation type="list" allowBlank="1" showInputMessage="1" showErrorMessage="1" sqref="C9 F9" xr:uid="{874FFD66-7581-40F0-AE73-4611C7C6221E}">
      <formula1>"1,2,3"</formula1>
    </dataValidation>
    <dataValidation type="list" allowBlank="1" showInputMessage="1" showErrorMessage="1" sqref="C10 F10" xr:uid="{6071572E-1F7D-48C6-AA2E-A7CDD66FA891}">
      <formula1>"1,2,3,4"</formula1>
    </dataValidation>
    <dataValidation type="list" allowBlank="1" showInputMessage="1" showErrorMessage="1" sqref="C11 F11" xr:uid="{44E6E7C0-BE9C-422F-B8B2-CF972A3D9A75}">
      <formula1>"1,2,3,4,5"</formula1>
    </dataValidation>
    <dataValidation type="list" allowBlank="1" showInputMessage="1" showErrorMessage="1" sqref="D7:D11" xr:uid="{7D65031B-A050-4B6D-8BFD-E6DCB46FAE2A}">
      <formula1>INDIRECT(SUBSTITUTE($B7,"",""))</formula1>
    </dataValidation>
    <dataValidation type="list" allowBlank="1" showInputMessage="1" showErrorMessage="1" sqref="B7:B11 E7:E11" xr:uid="{67C5835E-D9D4-4F50-9E56-CDA2ADFC0DA3}">
      <formula1>Class</formula1>
    </dataValidation>
    <dataValidation type="list" allowBlank="1" showInputMessage="1" showErrorMessage="1" sqref="G7:G11" xr:uid="{002261E8-6812-40F7-98B4-E50078ACE2B6}">
      <formula1>INDIRECT(SUBSTITUTE($E7,"",""))</formula1>
    </dataValidation>
  </dataValidations>
  <pageMargins left="0.7" right="0.7" top="0.75" bottom="0.75" header="0.3" footer="0.3"/>
  <ignoredErrors>
    <ignoredError sqref="AE7" formula="1"/>
  </ignoredErrors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FF8F-7AB0-4A7A-9652-24E1AFECA51C}">
  <dimension ref="B2:G7"/>
  <sheetViews>
    <sheetView workbookViewId="0"/>
  </sheetViews>
  <sheetFormatPr defaultRowHeight="15" x14ac:dyDescent="0.25"/>
  <cols>
    <col min="2" max="2" width="5.42578125" bestFit="1" customWidth="1"/>
    <col min="3" max="3" width="13.7109375" bestFit="1" customWidth="1"/>
    <col min="6" max="6" width="17.28515625" bestFit="1" customWidth="1"/>
  </cols>
  <sheetData>
    <row r="2" spans="2:7" ht="30" x14ac:dyDescent="0.25">
      <c r="B2" s="50" t="s">
        <v>195</v>
      </c>
      <c r="C2" s="48" t="s">
        <v>196</v>
      </c>
      <c r="F2" s="64" t="s">
        <v>17</v>
      </c>
      <c r="G2" s="65"/>
    </row>
    <row r="3" spans="2:7" x14ac:dyDescent="0.25">
      <c r="B3" s="67" t="str" cm="1">
        <f t="array" ref="B3">_xlfn.IFNA(IF(SUMPRODUCT(--('1_Data_Integrity'!$B$3:$B$14={"Rogue"}))&gt;0,"Yes","No"),"No")</f>
        <v>No</v>
      </c>
      <c r="C3" s="66" t="s">
        <v>197</v>
      </c>
      <c r="F3" s="11" t="s">
        <v>18</v>
      </c>
      <c r="G3" s="9"/>
    </row>
    <row r="4" spans="2:7" ht="15.75" thickBot="1" x14ac:dyDescent="0.3">
      <c r="B4" s="70" t="str" cm="1">
        <f t="array" ref="B4">_xlfn.IFNA(IF(SUMPRODUCT(--('1_Data_Integrity'!$B$3:$B$14={"Rogue"}))&gt;0,"Yes","No"),"No")</f>
        <v>No</v>
      </c>
      <c r="C4" s="66" t="s">
        <v>200</v>
      </c>
      <c r="F4" s="11" t="s">
        <v>19</v>
      </c>
      <c r="G4" s="12"/>
    </row>
    <row r="5" spans="2:7" ht="15.75" thickBot="1" x14ac:dyDescent="0.3">
      <c r="B5" s="69" t="str" cm="1">
        <f t="array" ref="B5">_xlfn.IFNA(IF(SUMPRODUCT(--('1_Data_Integrity'!$B$3:$B$14={"Rogue","Wizard"}))&gt;0,"Yes","No"),"No")</f>
        <v>Yes</v>
      </c>
      <c r="C5" s="68" t="s">
        <v>198</v>
      </c>
    </row>
    <row r="6" spans="2:7" x14ac:dyDescent="0.25">
      <c r="B6" s="71" t="str" cm="1">
        <f t="array" ref="B6">_xlfn.IFNA(IF(SUMPRODUCT(--('1_Data_Integrity'!$B$3:$B$14={"Fighter","Rogue"}))&gt;0,"Yes","No"),"No")</f>
        <v>Yes</v>
      </c>
      <c r="C6" s="66" t="s">
        <v>201</v>
      </c>
    </row>
    <row r="7" spans="2:7" x14ac:dyDescent="0.25">
      <c r="B7" s="67" t="str" cm="1">
        <f t="array" ref="B7">_xlfn.IFNA(IF(SUMPRODUCT(--('1_Data_Integrity'!$B$3:$B$14={"Wizard"}))&gt;0,"Yes","No"),"No")</f>
        <v>Yes</v>
      </c>
      <c r="C7" s="66" t="s">
        <v>199</v>
      </c>
    </row>
  </sheetData>
  <mergeCells count="1">
    <mergeCell ref="F2:G2"/>
  </mergeCells>
  <pageMargins left="0.7" right="0.7" top="0.75" bottom="0.75" header="0.3" footer="0.3"/>
  <ignoredErrors>
    <ignoredError sqref="B3:B7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Start_Here</vt:lpstr>
      <vt:lpstr>1_Data_Integrity</vt:lpstr>
      <vt:lpstr>2_Rules_Engine</vt:lpstr>
      <vt:lpstr>3_Financial_Model</vt:lpstr>
      <vt:lpstr>4_Gestalt_Engine</vt:lpstr>
      <vt:lpstr>5_Boolean_Logic</vt:lpstr>
      <vt:lpstr>Class</vt:lpstr>
      <vt:lpstr>Investigator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Pinkston, James</dc:creator>
  <cp:lastModifiedBy>Pinkston, James</cp:lastModifiedBy>
  <dcterms:created xsi:type="dcterms:W3CDTF">2026-04-30T19:27:47Z</dcterms:created>
  <dcterms:modified xsi:type="dcterms:W3CDTF">2026-05-06T20:50:50Z</dcterms:modified>
</cp:coreProperties>
</file>